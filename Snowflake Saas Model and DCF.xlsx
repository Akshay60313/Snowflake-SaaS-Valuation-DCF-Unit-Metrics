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1E39883A-1654-4785-A03F-CBFB6907C5F5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Dashboard" sheetId="10" r:id="rId1"/>
    <sheet name="Assumptions" sheetId="1" r:id="rId2"/>
    <sheet name="Revenue Model" sheetId="2" r:id="rId3"/>
    <sheet name="Profit and loss statement" sheetId="3" r:id="rId4"/>
    <sheet name="Working Capital" sheetId="9" r:id="rId5"/>
    <sheet name="DCF" sheetId="4" r:id="rId6"/>
    <sheet name="Unit Economics" sheetId="5" r:id="rId7"/>
  </sheets>
  <calcPr calcId="181029" iterate="1"/>
</workbook>
</file>

<file path=xl/calcChain.xml><?xml version="1.0" encoding="utf-8"?>
<calcChain xmlns="http://schemas.openxmlformats.org/spreadsheetml/2006/main">
  <c r="C39" i="10" l="1"/>
  <c r="D39" i="10"/>
  <c r="E39" i="10"/>
  <c r="F39" i="10"/>
  <c r="G39" i="10"/>
  <c r="B39" i="10"/>
  <c r="C42" i="10"/>
  <c r="D42" i="10"/>
  <c r="D43" i="10" s="1"/>
  <c r="E42" i="10"/>
  <c r="F42" i="10"/>
  <c r="G42" i="10"/>
  <c r="B42" i="10"/>
  <c r="C41" i="10"/>
  <c r="D41" i="10"/>
  <c r="E41" i="10"/>
  <c r="F41" i="10"/>
  <c r="G41" i="10"/>
  <c r="B41" i="10"/>
  <c r="C40" i="10"/>
  <c r="D40" i="10"/>
  <c r="E40" i="10"/>
  <c r="F40" i="10"/>
  <c r="G40" i="10"/>
  <c r="G43" i="10" s="1"/>
  <c r="B40" i="10"/>
  <c r="B43" i="10" s="1"/>
  <c r="D17" i="4"/>
  <c r="E17" i="4"/>
  <c r="F17" i="4"/>
  <c r="G17" i="4"/>
  <c r="C17" i="4"/>
  <c r="D24" i="5"/>
  <c r="E24" i="5"/>
  <c r="F24" i="5"/>
  <c r="G24" i="5"/>
  <c r="H24" i="5"/>
  <c r="I24" i="5"/>
  <c r="C24" i="5"/>
  <c r="C21" i="5"/>
  <c r="D21" i="5"/>
  <c r="E21" i="5"/>
  <c r="F21" i="5"/>
  <c r="G21" i="5"/>
  <c r="H21" i="5"/>
  <c r="I21" i="5"/>
  <c r="B21" i="5"/>
  <c r="C15" i="5"/>
  <c r="D15" i="5"/>
  <c r="E15" i="5"/>
  <c r="F15" i="5"/>
  <c r="G15" i="5"/>
  <c r="H15" i="5"/>
  <c r="I15" i="5"/>
  <c r="C11" i="5"/>
  <c r="D11" i="5"/>
  <c r="E11" i="5"/>
  <c r="F11" i="5"/>
  <c r="G11" i="5"/>
  <c r="H11" i="5"/>
  <c r="I11" i="5"/>
  <c r="B11" i="5"/>
  <c r="C9" i="5"/>
  <c r="C16" i="5" s="1"/>
  <c r="B9" i="5"/>
  <c r="D16" i="5"/>
  <c r="E16" i="5"/>
  <c r="F16" i="5"/>
  <c r="G16" i="5"/>
  <c r="H16" i="5"/>
  <c r="I16" i="5"/>
  <c r="E9" i="5"/>
  <c r="F9" i="5"/>
  <c r="G9" i="5"/>
  <c r="H9" i="5"/>
  <c r="I9" i="5"/>
  <c r="D9" i="5"/>
  <c r="B16" i="5"/>
  <c r="B14" i="5"/>
  <c r="B15" i="5" s="1"/>
  <c r="C14" i="5"/>
  <c r="D14" i="5"/>
  <c r="E14" i="5"/>
  <c r="F14" i="5"/>
  <c r="G14" i="5"/>
  <c r="H14" i="5"/>
  <c r="I14" i="5"/>
  <c r="C10" i="5"/>
  <c r="D10" i="5"/>
  <c r="E10" i="5"/>
  <c r="F10" i="5"/>
  <c r="G10" i="5"/>
  <c r="H10" i="5"/>
  <c r="I10" i="5"/>
  <c r="B10" i="5"/>
  <c r="C3" i="5"/>
  <c r="D3" i="5"/>
  <c r="E3" i="5"/>
  <c r="F3" i="5"/>
  <c r="G3" i="5"/>
  <c r="H3" i="5"/>
  <c r="I3" i="5"/>
  <c r="B3" i="5"/>
  <c r="I7" i="5"/>
  <c r="H7" i="5"/>
  <c r="F7" i="5"/>
  <c r="G7" i="5" s="1"/>
  <c r="E7" i="5"/>
  <c r="D6" i="5"/>
  <c r="E5" i="5"/>
  <c r="E6" i="5" s="1"/>
  <c r="C19" i="5"/>
  <c r="B19" i="5"/>
  <c r="C4" i="5"/>
  <c r="B4" i="5"/>
  <c r="I2" i="5"/>
  <c r="C2" i="5"/>
  <c r="D2" i="5"/>
  <c r="E2" i="5"/>
  <c r="F2" i="5"/>
  <c r="G2" i="5"/>
  <c r="H2" i="5"/>
  <c r="B2" i="5"/>
  <c r="J22" i="10"/>
  <c r="C5" i="4"/>
  <c r="D5" i="4"/>
  <c r="E5" i="4"/>
  <c r="F5" i="4"/>
  <c r="G5" i="4"/>
  <c r="B5" i="4"/>
  <c r="C24" i="9"/>
  <c r="C23" i="9"/>
  <c r="B23" i="9"/>
  <c r="B15" i="9"/>
  <c r="C13" i="9"/>
  <c r="B13" i="9"/>
  <c r="B12" i="9"/>
  <c r="H10" i="9"/>
  <c r="C10" i="9"/>
  <c r="D10" i="9"/>
  <c r="E10" i="9"/>
  <c r="F10" i="9"/>
  <c r="G10" i="9"/>
  <c r="B10" i="9"/>
  <c r="B9" i="3"/>
  <c r="C9" i="3"/>
  <c r="D9" i="3"/>
  <c r="C10" i="3"/>
  <c r="C11" i="3" s="1"/>
  <c r="D10" i="3"/>
  <c r="D11" i="3" s="1"/>
  <c r="B10" i="3"/>
  <c r="B11" i="3" s="1"/>
  <c r="C15" i="3"/>
  <c r="D15" i="3"/>
  <c r="C19" i="3"/>
  <c r="D19" i="3"/>
  <c r="C17" i="3"/>
  <c r="D17" i="3"/>
  <c r="C20" i="3"/>
  <c r="D20" i="3"/>
  <c r="B20" i="3"/>
  <c r="B19" i="3"/>
  <c r="B17" i="3"/>
  <c r="B15" i="3"/>
  <c r="C3" i="3"/>
  <c r="D3" i="3"/>
  <c r="B3" i="3"/>
  <c r="C2" i="3"/>
  <c r="D2" i="3"/>
  <c r="B2" i="3"/>
  <c r="F2" i="3"/>
  <c r="G2" i="3"/>
  <c r="H2" i="3"/>
  <c r="I2" i="3"/>
  <c r="J2" i="3"/>
  <c r="E2" i="3"/>
  <c r="G7" i="2"/>
  <c r="J8" i="2"/>
  <c r="I8" i="2"/>
  <c r="H8" i="2"/>
  <c r="G8" i="2"/>
  <c r="F8" i="2"/>
  <c r="I5" i="2"/>
  <c r="H5" i="2"/>
  <c r="G5" i="2"/>
  <c r="F5" i="2"/>
  <c r="E4" i="2"/>
  <c r="F7" i="2" s="1"/>
  <c r="AO6" i="2"/>
  <c r="AP6" i="2"/>
  <c r="AK5" i="4"/>
  <c r="AJ5" i="4"/>
  <c r="AI5" i="4"/>
  <c r="AH5" i="4"/>
  <c r="AG5" i="4"/>
  <c r="AF5" i="4"/>
  <c r="AE5" i="4"/>
  <c r="AD5" i="4"/>
  <c r="AC5" i="4"/>
  <c r="AB5" i="4"/>
  <c r="AA5" i="4"/>
  <c r="Z5" i="4"/>
  <c r="D44" i="10" l="1"/>
  <c r="B44" i="10"/>
  <c r="F43" i="10"/>
  <c r="E43" i="10"/>
  <c r="E44" i="10" s="1"/>
  <c r="C43" i="10"/>
  <c r="C44" i="10" s="1"/>
  <c r="G44" i="10"/>
  <c r="F44" i="10"/>
  <c r="F5" i="5"/>
  <c r="E5" i="2"/>
  <c r="F9" i="2"/>
  <c r="E3" i="3"/>
  <c r="E4" i="3" s="1"/>
  <c r="G9" i="2"/>
  <c r="F4" i="2"/>
  <c r="G5" i="5" l="1"/>
  <c r="F6" i="5"/>
  <c r="E5" i="3"/>
  <c r="F3" i="3"/>
  <c r="G4" i="2"/>
  <c r="H5" i="5" l="1"/>
  <c r="G6" i="5"/>
  <c r="B15" i="4"/>
  <c r="C12" i="9"/>
  <c r="E22" i="3"/>
  <c r="B8" i="4" s="1"/>
  <c r="E24" i="3"/>
  <c r="B9" i="4" s="1"/>
  <c r="E16" i="3"/>
  <c r="D4" i="5" s="1"/>
  <c r="E14" i="3"/>
  <c r="E10" i="3"/>
  <c r="E18" i="3"/>
  <c r="H4" i="2"/>
  <c r="G10" i="2"/>
  <c r="G11" i="2" s="1"/>
  <c r="H7" i="2" s="1"/>
  <c r="H9" i="2" s="1"/>
  <c r="G3" i="3"/>
  <c r="F4" i="3"/>
  <c r="F5" i="3" s="1"/>
  <c r="F8" i="3"/>
  <c r="I5" i="5" l="1"/>
  <c r="I6" i="5" s="1"/>
  <c r="H6" i="5"/>
  <c r="C15" i="9"/>
  <c r="C16" i="9" s="1"/>
  <c r="C19" i="9"/>
  <c r="C20" i="9" s="1"/>
  <c r="C15" i="4"/>
  <c r="D12" i="9"/>
  <c r="F22" i="3"/>
  <c r="C8" i="4" s="1"/>
  <c r="F24" i="3"/>
  <c r="C9" i="4" s="1"/>
  <c r="E11" i="3"/>
  <c r="D19" i="5" s="1"/>
  <c r="E20" i="3"/>
  <c r="E21" i="3" s="1"/>
  <c r="F18" i="3"/>
  <c r="F14" i="3"/>
  <c r="F7" i="3"/>
  <c r="F9" i="3" s="1"/>
  <c r="F16" i="3"/>
  <c r="E4" i="5" s="1"/>
  <c r="I4" i="2"/>
  <c r="H10" i="2"/>
  <c r="H11" i="2" s="1"/>
  <c r="I7" i="2" s="1"/>
  <c r="I9" i="2" s="1"/>
  <c r="H3" i="3"/>
  <c r="G8" i="3"/>
  <c r="G4" i="3"/>
  <c r="G5" i="3" s="1"/>
  <c r="E12" i="9" l="1"/>
  <c r="D15" i="4"/>
  <c r="E26" i="3"/>
  <c r="E27" i="3" s="1"/>
  <c r="B7" i="4"/>
  <c r="F10" i="3"/>
  <c r="F11" i="3" s="1"/>
  <c r="E19" i="5" s="1"/>
  <c r="D13" i="9"/>
  <c r="D23" i="9" s="1"/>
  <c r="D24" i="9" s="1"/>
  <c r="C26" i="9"/>
  <c r="B10" i="4" s="1"/>
  <c r="D15" i="9"/>
  <c r="D19" i="9"/>
  <c r="D20" i="9" s="1"/>
  <c r="G22" i="3"/>
  <c r="D8" i="4" s="1"/>
  <c r="G24" i="3"/>
  <c r="D9" i="4" s="1"/>
  <c r="F20" i="3"/>
  <c r="G7" i="3"/>
  <c r="G9" i="3" s="1"/>
  <c r="G14" i="3"/>
  <c r="G16" i="3"/>
  <c r="F4" i="5" s="1"/>
  <c r="G18" i="3"/>
  <c r="H4" i="3"/>
  <c r="H5" i="3" s="1"/>
  <c r="H8" i="3"/>
  <c r="J4" i="2"/>
  <c r="I3" i="3"/>
  <c r="I10" i="2"/>
  <c r="I11" i="2" s="1"/>
  <c r="J7" i="2" s="1"/>
  <c r="J9" i="2" s="1"/>
  <c r="F21" i="3" l="1"/>
  <c r="C7" i="4" s="1"/>
  <c r="E15" i="4"/>
  <c r="F12" i="9"/>
  <c r="D16" i="9"/>
  <c r="D26" i="9" s="1"/>
  <c r="C10" i="4" s="1"/>
  <c r="E15" i="9"/>
  <c r="E16" i="9" s="1"/>
  <c r="E19" i="9"/>
  <c r="E20" i="9" s="1"/>
  <c r="G10" i="3"/>
  <c r="G11" i="3" s="1"/>
  <c r="F19" i="5" s="1"/>
  <c r="E13" i="9"/>
  <c r="E23" i="9" s="1"/>
  <c r="E24" i="9" s="1"/>
  <c r="F26" i="3"/>
  <c r="F27" i="3" s="1"/>
  <c r="B12" i="4"/>
  <c r="B16" i="4" s="1"/>
  <c r="H22" i="3"/>
  <c r="E8" i="4" s="1"/>
  <c r="H24" i="3"/>
  <c r="E9" i="4" s="1"/>
  <c r="J3" i="3"/>
  <c r="J10" i="2"/>
  <c r="J11" i="2" s="1"/>
  <c r="H18" i="3"/>
  <c r="H16" i="3"/>
  <c r="G4" i="5" s="1"/>
  <c r="H14" i="3"/>
  <c r="H7" i="3"/>
  <c r="H9" i="3" s="1"/>
  <c r="I8" i="3"/>
  <c r="I4" i="3"/>
  <c r="I5" i="3" s="1"/>
  <c r="G20" i="3"/>
  <c r="G21" i="3" l="1"/>
  <c r="G26" i="3" s="1"/>
  <c r="G27" i="3" s="1"/>
  <c r="E26" i="9"/>
  <c r="D10" i="4" s="1"/>
  <c r="F15" i="9"/>
  <c r="F16" i="9" s="1"/>
  <c r="F19" i="9"/>
  <c r="F20" i="9" s="1"/>
  <c r="C12" i="4"/>
  <c r="C16" i="4" s="1"/>
  <c r="G12" i="9"/>
  <c r="F15" i="4"/>
  <c r="H10" i="3"/>
  <c r="H11" i="3" s="1"/>
  <c r="G19" i="5" s="1"/>
  <c r="F13" i="9"/>
  <c r="F23" i="9" s="1"/>
  <c r="F24" i="9" s="1"/>
  <c r="I22" i="3"/>
  <c r="F8" i="4" s="1"/>
  <c r="I24" i="3"/>
  <c r="F9" i="4" s="1"/>
  <c r="H20" i="3"/>
  <c r="I7" i="3"/>
  <c r="I9" i="3" s="1"/>
  <c r="I18" i="3"/>
  <c r="I14" i="3"/>
  <c r="I16" i="3"/>
  <c r="H4" i="5" s="1"/>
  <c r="J8" i="3"/>
  <c r="J4" i="3"/>
  <c r="J5" i="3" s="1"/>
  <c r="D7" i="4" l="1"/>
  <c r="D12" i="4" s="1"/>
  <c r="D16" i="4" s="1"/>
  <c r="H12" i="9"/>
  <c r="G15" i="4"/>
  <c r="F26" i="9"/>
  <c r="E10" i="4" s="1"/>
  <c r="I10" i="3"/>
  <c r="I11" i="3" s="1"/>
  <c r="H19" i="5" s="1"/>
  <c r="G13" i="9"/>
  <c r="G23" i="9" s="1"/>
  <c r="G24" i="9" s="1"/>
  <c r="G19" i="9"/>
  <c r="G20" i="9" s="1"/>
  <c r="G15" i="9"/>
  <c r="G16" i="9" s="1"/>
  <c r="H21" i="3"/>
  <c r="J22" i="3"/>
  <c r="G8" i="4" s="1"/>
  <c r="J24" i="3"/>
  <c r="G9" i="4" s="1"/>
  <c r="I20" i="3"/>
  <c r="J16" i="3"/>
  <c r="I4" i="5" s="1"/>
  <c r="J7" i="3"/>
  <c r="J9" i="3" s="1"/>
  <c r="J18" i="3"/>
  <c r="J14" i="3"/>
  <c r="I21" i="3" l="1"/>
  <c r="H19" i="9"/>
  <c r="H20" i="9" s="1"/>
  <c r="H15" i="9"/>
  <c r="H16" i="9" s="1"/>
  <c r="H26" i="3"/>
  <c r="H27" i="3" s="1"/>
  <c r="E7" i="4"/>
  <c r="E12" i="4" s="1"/>
  <c r="E16" i="4" s="1"/>
  <c r="G26" i="9"/>
  <c r="F10" i="4" s="1"/>
  <c r="J10" i="3"/>
  <c r="J11" i="3" s="1"/>
  <c r="I19" i="5" s="1"/>
  <c r="H13" i="9"/>
  <c r="H23" i="9" s="1"/>
  <c r="H24" i="9" s="1"/>
  <c r="I26" i="3"/>
  <c r="I27" i="3" s="1"/>
  <c r="F7" i="4"/>
  <c r="J20" i="3"/>
  <c r="J21" i="3" l="1"/>
  <c r="H26" i="9"/>
  <c r="G10" i="4" s="1"/>
  <c r="F12" i="4"/>
  <c r="F16" i="4" s="1"/>
  <c r="J26" i="3" l="1"/>
  <c r="J27" i="3" s="1"/>
  <c r="G7" i="4"/>
  <c r="G12" i="4" s="1"/>
  <c r="G16" i="4" s="1"/>
  <c r="G18" i="4" l="1"/>
  <c r="B30" i="4" s="1"/>
  <c r="B29" i="4"/>
  <c r="B31" i="4" l="1"/>
  <c r="B34" i="4" s="1"/>
  <c r="B36" i="4" s="1"/>
  <c r="I23" i="4" s="1"/>
  <c r="T3" i="2" l="1"/>
  <c r="T9" i="2"/>
  <c r="T4" i="2" l="1"/>
  <c r="T5" i="2"/>
  <c r="T10" i="2" s="1"/>
  <c r="T6" i="2" l="1"/>
  <c r="T8" i="2"/>
  <c r="T11" i="2" s="1"/>
  <c r="U9" i="2" l="1"/>
  <c r="T12" i="2"/>
  <c r="U3" i="2"/>
  <c r="U5" i="2" l="1"/>
  <c r="U10" i="2" s="1"/>
  <c r="U4" i="2"/>
  <c r="T17" i="2"/>
  <c r="T15" i="2"/>
  <c r="T16" i="2" l="1"/>
  <c r="U6" i="2"/>
  <c r="U8" i="2"/>
  <c r="U11" i="2" s="1"/>
  <c r="V9" i="2" l="1"/>
  <c r="U12" i="2"/>
  <c r="V3" i="2"/>
  <c r="V4" i="2" l="1"/>
  <c r="V5" i="2"/>
  <c r="V10" i="2" s="1"/>
  <c r="U15" i="2"/>
  <c r="U17" i="2"/>
  <c r="V6" i="2" l="1"/>
  <c r="V8" i="2"/>
  <c r="V11" i="2" s="1"/>
  <c r="U16" i="2"/>
  <c r="W3" i="2" l="1"/>
  <c r="W9" i="2"/>
  <c r="V12" i="2"/>
  <c r="V15" i="2" l="1"/>
  <c r="V17" i="2"/>
  <c r="W4" i="2"/>
  <c r="W5" i="2"/>
  <c r="W10" i="2" s="1"/>
  <c r="V16" i="2" l="1"/>
  <c r="W6" i="2"/>
  <c r="W8" i="2"/>
  <c r="W11" i="2" s="1"/>
  <c r="X3" i="2" l="1"/>
  <c r="X9" i="2"/>
  <c r="W12" i="2"/>
  <c r="W15" i="2" l="1"/>
  <c r="W17" i="2"/>
  <c r="X4" i="2"/>
  <c r="X5" i="2"/>
  <c r="X10" i="2" s="1"/>
  <c r="X6" i="2" l="1"/>
  <c r="X8" i="2"/>
  <c r="X11" i="2" s="1"/>
  <c r="W16" i="2"/>
  <c r="Y3" i="2" l="1"/>
  <c r="Y9" i="2"/>
  <c r="X12" i="2"/>
  <c r="X17" i="2" l="1"/>
  <c r="X15" i="2"/>
  <c r="Y5" i="2"/>
  <c r="Y10" i="2" s="1"/>
  <c r="Y4" i="2"/>
  <c r="X16" i="2" l="1"/>
  <c r="Y6" i="2"/>
  <c r="Y8" i="2"/>
  <c r="Y11" i="2" s="1"/>
  <c r="Z3" i="2" l="1"/>
  <c r="Z9" i="2"/>
  <c r="Y12" i="2"/>
  <c r="Y15" i="2" l="1"/>
  <c r="Y17" i="2"/>
  <c r="Z4" i="2"/>
  <c r="Z5" i="2"/>
  <c r="Z10" i="2" s="1"/>
  <c r="Y16" i="2" l="1"/>
  <c r="Z6" i="2"/>
  <c r="Z8" i="2"/>
  <c r="Z11" i="2" s="1"/>
  <c r="AA3" i="2" l="1"/>
  <c r="AA9" i="2"/>
  <c r="Z12" i="2"/>
  <c r="Z15" i="2" l="1"/>
  <c r="Z17" i="2"/>
  <c r="AA4" i="2"/>
  <c r="AA5" i="2"/>
  <c r="AA10" i="2" s="1"/>
  <c r="AA6" i="2" l="1"/>
  <c r="AA8" i="2"/>
  <c r="AA11" i="2" s="1"/>
  <c r="Z16" i="2"/>
  <c r="AB9" i="2" l="1"/>
  <c r="AA12" i="2"/>
  <c r="AB3" i="2"/>
  <c r="AB5" i="2" l="1"/>
  <c r="AB10" i="2" s="1"/>
  <c r="AB4" i="2"/>
  <c r="AA17" i="2"/>
  <c r="AA15" i="2"/>
  <c r="AB6" i="2" l="1"/>
  <c r="AB8" i="2"/>
  <c r="AB11" i="2" s="1"/>
  <c r="AA16" i="2"/>
  <c r="AC3" i="2" l="1"/>
  <c r="AC9" i="2"/>
  <c r="AB12" i="2"/>
  <c r="AB15" i="2" l="1"/>
  <c r="AB17" i="2"/>
  <c r="AC5" i="2"/>
  <c r="AC10" i="2" s="1"/>
  <c r="AC4" i="2"/>
  <c r="AC6" i="2" l="1"/>
  <c r="AC8" i="2"/>
  <c r="AC11" i="2" s="1"/>
  <c r="AB16" i="2"/>
  <c r="AD3" i="2" l="1"/>
  <c r="AD9" i="2"/>
  <c r="AC12" i="2"/>
  <c r="AC17" i="2" l="1"/>
  <c r="AC15" i="2"/>
  <c r="AD4" i="2"/>
  <c r="AD5" i="2"/>
  <c r="AD10" i="2" s="1"/>
  <c r="Z9" i="4" l="1"/>
  <c r="Z10" i="4" s="1"/>
  <c r="Z4" i="4"/>
  <c r="Z6" i="4" s="1"/>
  <c r="AC16" i="2"/>
  <c r="AD6" i="2"/>
  <c r="AD8" i="2"/>
  <c r="AD11" i="2" s="1"/>
  <c r="AE3" i="2" l="1"/>
  <c r="Z13" i="4"/>
  <c r="AE9" i="2"/>
  <c r="AD12" i="2"/>
  <c r="AD17" i="2" l="1"/>
  <c r="AD15" i="2"/>
  <c r="Z19" i="4"/>
  <c r="Z14" i="4"/>
  <c r="AE4" i="2"/>
  <c r="AE5" i="2"/>
  <c r="AE10" i="2" s="1"/>
  <c r="AE6" i="2" l="1"/>
  <c r="AE8" i="2"/>
  <c r="AE11" i="2" s="1"/>
  <c r="AA9" i="4"/>
  <c r="AA10" i="4" s="1"/>
  <c r="AA4" i="4"/>
  <c r="AA6" i="4" s="1"/>
  <c r="AD16" i="2"/>
  <c r="Z18" i="4"/>
  <c r="AA13" i="4" l="1"/>
  <c r="AF9" i="2"/>
  <c r="AE12" i="2"/>
  <c r="AF3" i="2"/>
  <c r="AE15" i="2" l="1"/>
  <c r="AE17" i="2"/>
  <c r="AA19" i="4"/>
  <c r="AA14" i="4"/>
  <c r="AA18" i="4" s="1"/>
  <c r="AF4" i="2"/>
  <c r="AF5" i="2"/>
  <c r="AF10" i="2" s="1"/>
  <c r="AF6" i="2" l="1"/>
  <c r="AF8" i="2"/>
  <c r="AF11" i="2" s="1"/>
  <c r="AB9" i="4"/>
  <c r="AB10" i="4" s="1"/>
  <c r="AB4" i="4"/>
  <c r="AB6" i="4" s="1"/>
  <c r="AE16" i="2"/>
  <c r="AB13" i="4" l="1"/>
  <c r="AB14" i="4" s="1"/>
  <c r="AB18" i="4" s="1"/>
  <c r="AG3" i="2"/>
  <c r="AG9" i="2"/>
  <c r="AF12" i="2"/>
  <c r="AB19" i="4" l="1"/>
  <c r="AF15" i="2"/>
  <c r="AF17" i="2"/>
  <c r="AG5" i="2"/>
  <c r="AG10" i="2" s="1"/>
  <c r="AG4" i="2"/>
  <c r="AG6" i="2" l="1"/>
  <c r="AG8" i="2"/>
  <c r="AG11" i="2" s="1"/>
  <c r="AC9" i="4"/>
  <c r="AC10" i="4" s="1"/>
  <c r="AC4" i="4"/>
  <c r="AC6" i="4" s="1"/>
  <c r="AF16" i="2"/>
  <c r="AC13" i="4" l="1"/>
  <c r="AH9" i="2"/>
  <c r="AG12" i="2"/>
  <c r="AH3" i="2"/>
  <c r="AH4" i="2" l="1"/>
  <c r="AH5" i="2"/>
  <c r="AH10" i="2" s="1"/>
  <c r="AG15" i="2"/>
  <c r="AG17" i="2"/>
  <c r="AC19" i="4"/>
  <c r="AC14" i="4"/>
  <c r="AD9" i="4" l="1"/>
  <c r="AD10" i="4" s="1"/>
  <c r="AD4" i="4"/>
  <c r="AD6" i="4" s="1"/>
  <c r="AG16" i="2"/>
  <c r="AC18" i="4"/>
  <c r="AH6" i="2"/>
  <c r="AH8" i="2"/>
  <c r="AH11" i="2" s="1"/>
  <c r="AI3" i="2" l="1"/>
  <c r="AD13" i="4"/>
  <c r="AI9" i="2"/>
  <c r="AH12" i="2"/>
  <c r="AH15" i="2" l="1"/>
  <c r="AH17" i="2"/>
  <c r="AD19" i="4"/>
  <c r="AD14" i="4"/>
  <c r="AI4" i="2"/>
  <c r="AI5" i="2"/>
  <c r="AI10" i="2" s="1"/>
  <c r="AI8" i="2" l="1"/>
  <c r="AI11" i="2" s="1"/>
  <c r="AI6" i="2"/>
  <c r="AE9" i="4"/>
  <c r="AE10" i="4" s="1"/>
  <c r="AE4" i="4"/>
  <c r="AE6" i="4" s="1"/>
  <c r="AH16" i="2"/>
  <c r="AD18" i="4"/>
  <c r="AE13" i="4" l="1"/>
  <c r="AJ3" i="2"/>
  <c r="AJ9" i="2"/>
  <c r="AI12" i="2"/>
  <c r="AJ4" i="2" l="1"/>
  <c r="AJ5" i="2"/>
  <c r="AJ10" i="2" s="1"/>
  <c r="AE19" i="4"/>
  <c r="AE14" i="4"/>
  <c r="AI17" i="2"/>
  <c r="AI15" i="2"/>
  <c r="AJ6" i="2" l="1"/>
  <c r="AJ8" i="2"/>
  <c r="AJ11" i="2" s="1"/>
  <c r="AE18" i="4"/>
  <c r="AF9" i="4"/>
  <c r="AF10" i="4" s="1"/>
  <c r="AF4" i="4"/>
  <c r="AF6" i="4" s="1"/>
  <c r="AI16" i="2"/>
  <c r="AF13" i="4" l="1"/>
  <c r="AK3" i="2"/>
  <c r="AK9" i="2"/>
  <c r="AJ12" i="2"/>
  <c r="AJ17" i="2" l="1"/>
  <c r="AJ15" i="2"/>
  <c r="AK5" i="2"/>
  <c r="AK10" i="2" s="1"/>
  <c r="AK4" i="2"/>
  <c r="AF19" i="4"/>
  <c r="AF14" i="4"/>
  <c r="AF18" i="4" s="1"/>
  <c r="AG9" i="4" l="1"/>
  <c r="AG10" i="4" s="1"/>
  <c r="AG4" i="4"/>
  <c r="AG6" i="4" s="1"/>
  <c r="AJ16" i="2"/>
  <c r="AK6" i="2"/>
  <c r="AK8" i="2"/>
  <c r="AK11" i="2" s="1"/>
  <c r="AG13" i="4" l="1"/>
  <c r="AG19" i="4" s="1"/>
  <c r="AL3" i="2"/>
  <c r="AL9" i="2"/>
  <c r="AK12" i="2"/>
  <c r="AG14" i="4" l="1"/>
  <c r="AG18" i="4" s="1"/>
  <c r="AK17" i="2"/>
  <c r="AK15" i="2"/>
  <c r="AL4" i="2"/>
  <c r="AL5" i="2"/>
  <c r="AL10" i="2" s="1"/>
  <c r="AH9" i="4" l="1"/>
  <c r="AH10" i="4" s="1"/>
  <c r="AH4" i="4"/>
  <c r="AH6" i="4" s="1"/>
  <c r="AK16" i="2"/>
  <c r="AL6" i="2"/>
  <c r="AL8" i="2"/>
  <c r="AL11" i="2" s="1"/>
  <c r="AM3" i="2" l="1"/>
  <c r="AM9" i="2"/>
  <c r="AL12" i="2"/>
  <c r="AH13" i="4"/>
  <c r="AH19" i="4" l="1"/>
  <c r="AH14" i="4"/>
  <c r="AL15" i="2"/>
  <c r="AL17" i="2"/>
  <c r="AM4" i="2"/>
  <c r="AM5" i="2"/>
  <c r="AM10" i="2" s="1"/>
  <c r="AI9" i="4" l="1"/>
  <c r="AI10" i="4" s="1"/>
  <c r="AI4" i="4"/>
  <c r="AI6" i="4" s="1"/>
  <c r="AL16" i="2"/>
  <c r="AM6" i="2"/>
  <c r="AM8" i="2"/>
  <c r="AM11" i="2" s="1"/>
  <c r="AH18" i="4"/>
  <c r="AI13" i="4" l="1"/>
  <c r="AN3" i="2"/>
  <c r="AN9" i="2"/>
  <c r="AM12" i="2"/>
  <c r="AM17" i="2" l="1"/>
  <c r="AM15" i="2"/>
  <c r="AN4" i="2"/>
  <c r="AN5" i="2"/>
  <c r="AN10" i="2" s="1"/>
  <c r="AI18" i="4"/>
  <c r="AI19" i="4"/>
  <c r="AI14" i="4"/>
  <c r="AN6" i="2" l="1"/>
  <c r="AN8" i="2"/>
  <c r="AN11" i="2" s="1"/>
  <c r="AN12" i="2" s="1"/>
  <c r="AJ9" i="4"/>
  <c r="AJ10" i="4" s="1"/>
  <c r="AJ4" i="4"/>
  <c r="AJ6" i="4" s="1"/>
  <c r="AM16" i="2"/>
  <c r="AJ13" i="4" l="1"/>
  <c r="AN17" i="2"/>
  <c r="AN15" i="2"/>
  <c r="AN16" i="2" s="1"/>
  <c r="AJ19" i="4" l="1"/>
  <c r="AJ14" i="4"/>
  <c r="AJ18" i="4" s="1"/>
  <c r="AK4" i="4"/>
  <c r="AK6" i="4" s="1"/>
  <c r="AK9" i="4" l="1"/>
  <c r="AK10" i="4" s="1"/>
  <c r="AK13" i="4" s="1"/>
  <c r="AK19" i="4" l="1"/>
  <c r="AK14" i="4"/>
  <c r="AK18" i="4" s="1"/>
</calcChain>
</file>

<file path=xl/sharedStrings.xml><?xml version="1.0" encoding="utf-8"?>
<sst xmlns="http://schemas.openxmlformats.org/spreadsheetml/2006/main" count="241" uniqueCount="217">
  <si>
    <t>Enter your business assumptions below. The model will automatically calculate projections.</t>
  </si>
  <si>
    <t/>
  </si>
  <si>
    <t>R&amp;D / Product Development</t>
  </si>
  <si>
    <t>G&amp;A (General &amp; Administrative)</t>
  </si>
  <si>
    <t>Metric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</si>
  <si>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</si>
  <si>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</si>
  <si>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</si>
  <si>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</si>
  <si>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</si>
  <si>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</si>
  <si>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</si>
  <si>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</si>
  <si>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</si>
  <si>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</si>
  <si>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</si>
  <si>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</si>
  <si>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</si>
  <si>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</si>
  <si>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</si>
  <si>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</si>
  <si>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</si>
  <si>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</si>
  <si>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</si>
  <si>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</si>
  <si>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</si>
  <si>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COGS</t>
  </si>
  <si>
    <t>G&amp;A</t>
  </si>
  <si>
    <t>Total Operating Expenses</t>
  </si>
  <si>
    <t>Gross Profit</t>
  </si>
  <si>
    <t>Gross Margin %</t>
  </si>
  <si>
    <t>Unit Economics &amp; Key Metrics</t>
  </si>
  <si>
    <t>CUSTOMER METRICS</t>
  </si>
  <si>
    <t>Customer Lifetime (months)</t>
  </si>
  <si>
    <t>ACQUISITION METRICS</t>
  </si>
  <si>
    <t>LTV / CAC Ratio</t>
  </si>
  <si>
    <t>CAC Payback Period (months)</t>
  </si>
  <si>
    <t>EFFICIENCY METRICS</t>
  </si>
  <si>
    <t>Net Revenue Retention</t>
  </si>
  <si>
    <t>MAGIC NUMBER</t>
  </si>
  <si>
    <t>Sales Efficiency (Magic Number)</t>
  </si>
  <si>
    <t>Churn Rate</t>
  </si>
  <si>
    <t>Category</t>
  </si>
  <si>
    <t>Fiscal Year End</t>
  </si>
  <si>
    <t>Latest reported Quarter</t>
  </si>
  <si>
    <t>Value</t>
  </si>
  <si>
    <t>Product revenue ($m)</t>
  </si>
  <si>
    <t>FY 2026E (guidance midpoint,now tracking higher</t>
  </si>
  <si>
    <t>FY 2027E growth</t>
  </si>
  <si>
    <t>FY 2028E growth</t>
  </si>
  <si>
    <t>FY 2029E growth</t>
  </si>
  <si>
    <t>FY 2030E growth</t>
  </si>
  <si>
    <t>FY 2031E-FY2035E growth</t>
  </si>
  <si>
    <t>Terminal Growth (beyond 2035)</t>
  </si>
  <si>
    <t>Net Revenue Retention (NRR)</t>
  </si>
  <si>
    <t xml:space="preserve">FY 2027E </t>
  </si>
  <si>
    <t>FY2028E</t>
  </si>
  <si>
    <t>FY 2029E+</t>
  </si>
  <si>
    <t>Gross Margins</t>
  </si>
  <si>
    <t>Product Gross Margin- FY 2026</t>
  </si>
  <si>
    <t>Operating EXPENSES (% of Revenue)</t>
  </si>
  <si>
    <t>Product GM- improve 100 bps/yr</t>
  </si>
  <si>
    <t>S&amp;M</t>
  </si>
  <si>
    <t>Stock Based Compensation</t>
  </si>
  <si>
    <t>Other</t>
  </si>
  <si>
    <t>Capex % revenue</t>
  </si>
  <si>
    <t>Effective Tax Rate</t>
  </si>
  <si>
    <t>Net Working Capital Days</t>
  </si>
  <si>
    <t>FD Shares Outstanding(M)</t>
  </si>
  <si>
    <t>16-12%</t>
  </si>
  <si>
    <t>11%-9%</t>
  </si>
  <si>
    <t>24-18%</t>
  </si>
  <si>
    <t>0(-10days)</t>
  </si>
  <si>
    <t>Rationale</t>
  </si>
  <si>
    <t>Snowflake FY ends Jan 31</t>
  </si>
  <si>
    <t>Consesus- 26-27%. Slight Above mid-p0int = reasonable bull case</t>
  </si>
  <si>
    <t>Fade 200 bps - standard for $5b revenue saas</t>
  </si>
  <si>
    <t>Long term mature Saas Growth</t>
  </si>
  <si>
    <t>Slightly Above GDP</t>
  </si>
  <si>
    <t>Recent run-rate 125%+</t>
  </si>
  <si>
    <t>Long term fade-Data dog</t>
  </si>
  <si>
    <t>Company guidance 75% but historical-take 76.5%</t>
  </si>
  <si>
    <t>Optimization</t>
  </si>
  <si>
    <t>Currently 28%- guiding down 100 bps</t>
  </si>
  <si>
    <t>Currently highest in saas-likely to improve</t>
  </si>
  <si>
    <t>Efficient</t>
  </si>
  <si>
    <t>Will dilute as stock stabilizes</t>
  </si>
  <si>
    <t>Asset-light</t>
  </si>
  <si>
    <t>US TAX</t>
  </si>
  <si>
    <t>Clean receivable</t>
  </si>
  <si>
    <t>335-375 by 2035</t>
  </si>
  <si>
    <t>Q2FY 26</t>
  </si>
  <si>
    <t>Reported August</t>
  </si>
  <si>
    <t>Current market price</t>
  </si>
  <si>
    <t>$251</t>
  </si>
  <si>
    <t>Large Customer Cohort (2026)</t>
  </si>
  <si>
    <t>Market Cap</t>
  </si>
  <si>
    <t>$86.6 B</t>
  </si>
  <si>
    <t>Enterprise Value</t>
  </si>
  <si>
    <t>$84 B</t>
  </si>
  <si>
    <t>(Net Cash)</t>
  </si>
  <si>
    <t>Current NTM multiple</t>
  </si>
  <si>
    <t>19.0x</t>
  </si>
  <si>
    <t>RPO</t>
  </si>
  <si>
    <t>$6.9 B</t>
  </si>
  <si>
    <t>(&gt;1M TTM Product Revenue)</t>
  </si>
  <si>
    <t>Desciption</t>
  </si>
  <si>
    <t>Product Revenue</t>
  </si>
  <si>
    <t>YoY Growth</t>
  </si>
  <si>
    <t>Revenue Bridge (NRR BUILD)</t>
  </si>
  <si>
    <t>Beginning Product Revenue</t>
  </si>
  <si>
    <t>* Net Revenue Retention (NRR)</t>
  </si>
  <si>
    <t>Revenue from Existing Customer</t>
  </si>
  <si>
    <t>Total Product Revenue(check)</t>
  </si>
  <si>
    <t>New Customer Revenue</t>
  </si>
  <si>
    <t>Profit &amp; Loss</t>
  </si>
  <si>
    <t>Description</t>
  </si>
  <si>
    <t>Professional service and other Revenue</t>
  </si>
  <si>
    <t>Total Revenue</t>
  </si>
  <si>
    <t>Cost OF Revenue-Product</t>
  </si>
  <si>
    <t>Cost OF Revenue-Services</t>
  </si>
  <si>
    <t>Total cost of revenue</t>
  </si>
  <si>
    <t>Gross margin %</t>
  </si>
  <si>
    <t>Operating Expenses:</t>
  </si>
  <si>
    <t>Research &amp; Development</t>
  </si>
  <si>
    <t>% of Revenue</t>
  </si>
  <si>
    <t>Sales &amp; Marketing</t>
  </si>
  <si>
    <t>Non-Gaap Operating Income</t>
  </si>
  <si>
    <t>Non-Gaap Operating Margin</t>
  </si>
  <si>
    <t>FY 2023</t>
  </si>
  <si>
    <t>FY 2024</t>
  </si>
  <si>
    <t>FY 2025</t>
  </si>
  <si>
    <t xml:space="preserve"> </t>
  </si>
  <si>
    <t>42-35%</t>
  </si>
  <si>
    <t>28%-24%</t>
  </si>
  <si>
    <t>GAAP Op income</t>
  </si>
  <si>
    <t>ADD:Share based compensation</t>
  </si>
  <si>
    <t>%of Revenue</t>
  </si>
  <si>
    <t>ADD:Amortization</t>
  </si>
  <si>
    <t>3-5%</t>
  </si>
  <si>
    <t>$39</t>
  </si>
  <si>
    <t>Amortization</t>
  </si>
  <si>
    <t>1.5-0.5%</t>
  </si>
  <si>
    <t>]</t>
  </si>
  <si>
    <t>KEY ASSUMPTIONS</t>
  </si>
  <si>
    <t>Days Sales Outstanding (DSO)</t>
  </si>
  <si>
    <t>Project Rationale</t>
  </si>
  <si>
    <t>FY 2026 Assumptions</t>
  </si>
  <si>
    <t>Enterprise Saas usually has clean collection</t>
  </si>
  <si>
    <t>40 Days</t>
  </si>
  <si>
    <t>50 Days</t>
  </si>
  <si>
    <t>45% of Product revenue</t>
  </si>
  <si>
    <t>Days Payable Outstanding</t>
  </si>
  <si>
    <t>Strong Bargaining power with cloud vendors</t>
  </si>
  <si>
    <t>Driven by large upfront RPO</t>
  </si>
  <si>
    <t>Deferred Revenue Ratio</t>
  </si>
  <si>
    <t>Schedule Calculation</t>
  </si>
  <si>
    <t>Metric (in millions)</t>
  </si>
  <si>
    <t>Account Receivable (A/R)-Cash Outflow</t>
  </si>
  <si>
    <t>Change in AR</t>
  </si>
  <si>
    <t>Deferred Revenue</t>
  </si>
  <si>
    <t>DR Balance</t>
  </si>
  <si>
    <t>Change in DR</t>
  </si>
  <si>
    <t>Account Payable</t>
  </si>
  <si>
    <t>AP Balance</t>
  </si>
  <si>
    <t>Change in Payable</t>
  </si>
  <si>
    <t>Change in NWC</t>
  </si>
  <si>
    <t>(-AR+DR+AP)</t>
  </si>
  <si>
    <t>DCF &amp; Sensitive Analysis</t>
  </si>
  <si>
    <t>CASH FLOW TAB</t>
  </si>
  <si>
    <t>Cash flow from operation</t>
  </si>
  <si>
    <t>GAAP operating income</t>
  </si>
  <si>
    <t>Add:Amortization</t>
  </si>
  <si>
    <t>Changes in NWC</t>
  </si>
  <si>
    <t>CFO</t>
  </si>
  <si>
    <t>Cash Flow from investing</t>
  </si>
  <si>
    <t>Less:Capex</t>
  </si>
  <si>
    <t>FCF</t>
  </si>
  <si>
    <t>Terminal value</t>
  </si>
  <si>
    <t xml:space="preserve">Valuation </t>
  </si>
  <si>
    <t>WACC</t>
  </si>
  <si>
    <t>(Investing.com)</t>
  </si>
  <si>
    <t>Terminal Value</t>
  </si>
  <si>
    <t>NPV of Explicit value</t>
  </si>
  <si>
    <t>Npv of terminal value</t>
  </si>
  <si>
    <t>Enterprise value</t>
  </si>
  <si>
    <t>Add:Cash</t>
  </si>
  <si>
    <t>Equity Value</t>
  </si>
  <si>
    <t>Intrinsic value</t>
  </si>
  <si>
    <t>Less:Debt</t>
  </si>
  <si>
    <t>Perpetuity Growth Method</t>
  </si>
  <si>
    <t>(US GDP+ inflation)</t>
  </si>
  <si>
    <t>Snowflake Financial Model - Assumptions</t>
  </si>
  <si>
    <t>Revenue Model -Snowflake</t>
  </si>
  <si>
    <t>Shares Outstanding(M)</t>
  </si>
  <si>
    <t>FY 2026 (E)</t>
  </si>
  <si>
    <t>FY 2027 E</t>
  </si>
  <si>
    <t>FY 2028 E</t>
  </si>
  <si>
    <t>FY 2029 E</t>
  </si>
  <si>
    <t>FY 2030 E</t>
  </si>
  <si>
    <t>FY 2031 E</t>
  </si>
  <si>
    <t>Revenue</t>
  </si>
  <si>
    <t>Total Customer</t>
  </si>
  <si>
    <t>New Customer</t>
  </si>
  <si>
    <t>1Million + Customer</t>
  </si>
  <si>
    <t>Customer Growth</t>
  </si>
  <si>
    <t>1M+ Customer</t>
  </si>
  <si>
    <t>1m+ Customer (post 2029E)</t>
  </si>
  <si>
    <t>Customer Acquisition Cost (CAC)(M)</t>
  </si>
  <si>
    <t>Customer Lifetime Value (LTV)(M)</t>
  </si>
  <si>
    <t>Average Revenue Per Account (ARPA)(M)</t>
  </si>
  <si>
    <t>Revenue(M)</t>
  </si>
  <si>
    <t>S&amp;M Expense(M)</t>
  </si>
  <si>
    <t>fcf</t>
  </si>
  <si>
    <t>FCF MARGIN</t>
  </si>
  <si>
    <t>%Revenue Growth</t>
  </si>
  <si>
    <t>Rule of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</si>
</sst>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0.0%"/>
    <numFmt numFmtId="166" formatCode="[$$-409]#,##0.00"/>
    <numFmt numFmtId="167" formatCode="[$$-409]#,##0"/>
    <numFmt numFmtId="168" formatCode="[$$-C09]#,##0.00"/>
    <numFmt numFmtId="169" formatCode="[$$-C09]#,##0"/>
  </numFmts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i/>
      <sz val="9"/>
      <color rgb="FF666666"/>
      <name val="Calibri"/>
    </font>
    <font>
      <b/>
      <sz val="11"/>
      <name val="Calibri"/>
    </font>
    <font>
      <b/>
      <sz val="9"/>
      <name val="Calibri"/>
    </font>
    <font>
      <b/>
      <sz val="11"/>
      <name val="Calibri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rgb="FF666666"/>
      <name val="Arial"/>
      <family val="2"/>
    </font>
    <font>
      <sz val="11"/>
      <name val="Arial"/>
      <family val="2"/>
    </font>
    <font>
      <b/>
      <sz val="16"/>
      <color rgb="FFFFFFFF"/>
      <name val="Calibri"/>
      <family val="2"/>
    </font>
    <font>
      <b/>
      <sz val="9"/>
      <name val="Calibri"/>
      <family val="2"/>
    </font>
    <font>
      <sz val="11"/>
      <color theme="3" tint="0.39997558519241921"/>
      <name val="Calibri"/>
      <family val="2"/>
      <scheme val="minor"/>
    </font>
    <font>
      <sz val="12"/>
      <name val="Arial"/>
      <family val="2"/>
    </font>
    <font>
      <i/>
      <sz val="9"/>
      <color rgb="FF666666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70AD47"/>
      </patternFill>
    </fill>
    <fill>
      <patternFill patternType="solid">
        <fgColor rgb="FFF39C12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11" fillId="0" borderId="0" xfId="0" applyFont="1"/>
    <xf numFmtId="0" fontId="0" fillId="8" borderId="0" xfId="0" applyFill="1"/>
    <xf numFmtId="0" fontId="10" fillId="8" borderId="0" xfId="0" applyFont="1" applyFill="1"/>
    <xf numFmtId="0" fontId="11" fillId="8" borderId="0" xfId="0" applyFont="1" applyFill="1"/>
    <xf numFmtId="0" fontId="0" fillId="9" borderId="0" xfId="0" applyFill="1"/>
    <xf numFmtId="0" fontId="11" fillId="9" borderId="0" xfId="0" applyFont="1" applyFill="1"/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right"/>
    </xf>
    <xf numFmtId="0" fontId="12" fillId="0" borderId="0" xfId="0" applyFont="1"/>
    <xf numFmtId="0" fontId="12" fillId="9" borderId="0" xfId="0" applyFont="1" applyFill="1"/>
    <xf numFmtId="17" fontId="12" fillId="8" borderId="0" xfId="0" applyNumberFormat="1" applyFont="1" applyFill="1" applyAlignment="1">
      <alignment horizontal="right"/>
    </xf>
    <xf numFmtId="0" fontId="12" fillId="8" borderId="0" xfId="0" applyFont="1" applyFill="1"/>
    <xf numFmtId="0" fontId="12" fillId="8" borderId="0" xfId="0" applyFont="1" applyFill="1" applyAlignment="1">
      <alignment horizontal="right"/>
    </xf>
    <xf numFmtId="0" fontId="12" fillId="8" borderId="0" xfId="0" applyFont="1" applyFill="1" applyAlignment="1">
      <alignment wrapText="1"/>
    </xf>
    <xf numFmtId="164" fontId="12" fillId="8" borderId="0" xfId="0" applyNumberFormat="1" applyFont="1" applyFill="1" applyAlignment="1">
      <alignment horizontal="right"/>
    </xf>
    <xf numFmtId="10" fontId="12" fillId="8" borderId="0" xfId="0" applyNumberFormat="1" applyFont="1" applyFill="1" applyAlignment="1">
      <alignment horizontal="right"/>
    </xf>
    <xf numFmtId="0" fontId="14" fillId="8" borderId="0" xfId="0" applyFont="1" applyFill="1"/>
    <xf numFmtId="165" fontId="12" fillId="8" borderId="0" xfId="0" applyNumberFormat="1" applyFont="1" applyFill="1" applyAlignment="1">
      <alignment horizontal="right"/>
    </xf>
    <xf numFmtId="9" fontId="12" fillId="8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right"/>
    </xf>
    <xf numFmtId="0" fontId="12" fillId="7" borderId="0" xfId="0" applyFont="1" applyFill="1"/>
    <xf numFmtId="0" fontId="0" fillId="7" borderId="0" xfId="0" applyFill="1"/>
    <xf numFmtId="0" fontId="16" fillId="2" borderId="0" xfId="0" applyFont="1" applyFill="1" applyAlignment="1">
      <alignment horizontal="center"/>
    </xf>
    <xf numFmtId="0" fontId="0" fillId="7" borderId="0" xfId="0" applyFill="1" applyAlignment="1">
      <alignment wrapText="1"/>
    </xf>
    <xf numFmtId="164" fontId="0" fillId="7" borderId="0" xfId="0" applyNumberFormat="1" applyFill="1"/>
    <xf numFmtId="0" fontId="8" fillId="0" borderId="0" xfId="0" applyFont="1"/>
    <xf numFmtId="0" fontId="10" fillId="2" borderId="0" xfId="0" applyFont="1" applyFill="1"/>
    <xf numFmtId="164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/>
    <xf numFmtId="9" fontId="0" fillId="0" borderId="0" xfId="0" applyNumberFormat="1" applyAlignment="1">
      <alignment wrapText="1"/>
    </xf>
    <xf numFmtId="10" fontId="0" fillId="7" borderId="0" xfId="0" applyNumberFormat="1" applyFill="1"/>
    <xf numFmtId="165" fontId="0" fillId="7" borderId="0" xfId="0" applyNumberFormat="1" applyFill="1"/>
    <xf numFmtId="2" fontId="0" fillId="7" borderId="0" xfId="0" applyNumberFormat="1" applyFill="1"/>
    <xf numFmtId="1" fontId="0" fillId="7" borderId="0" xfId="0" applyNumberFormat="1" applyFill="1"/>
    <xf numFmtId="9" fontId="17" fillId="0" borderId="0" xfId="0" applyNumberFormat="1" applyFont="1"/>
    <xf numFmtId="10" fontId="17" fillId="0" borderId="0" xfId="0" applyNumberFormat="1" applyFont="1"/>
    <xf numFmtId="0" fontId="11" fillId="7" borderId="0" xfId="0" applyFont="1" applyFill="1"/>
    <xf numFmtId="0" fontId="0" fillId="11" borderId="0" xfId="0" applyFill="1"/>
    <xf numFmtId="0" fontId="0" fillId="12" borderId="0" xfId="0" applyFill="1"/>
    <xf numFmtId="0" fontId="7" fillId="12" borderId="0" xfId="0" applyFont="1" applyFill="1" applyAlignment="1">
      <alignment wrapText="1"/>
    </xf>
    <xf numFmtId="167" fontId="0" fillId="0" borderId="0" xfId="0" applyNumberFormat="1"/>
    <xf numFmtId="167" fontId="0" fillId="7" borderId="0" xfId="0" applyNumberFormat="1" applyFill="1"/>
    <xf numFmtId="1" fontId="0" fillId="9" borderId="0" xfId="0" applyNumberFormat="1" applyFill="1"/>
    <xf numFmtId="167" fontId="0" fillId="13" borderId="0" xfId="0" applyNumberFormat="1" applyFill="1"/>
    <xf numFmtId="166" fontId="9" fillId="8" borderId="0" xfId="0" applyNumberFormat="1" applyFont="1" applyFill="1"/>
    <xf numFmtId="169" fontId="0" fillId="15" borderId="0" xfId="0" applyNumberFormat="1" applyFill="1"/>
    <xf numFmtId="169" fontId="0" fillId="14" borderId="0" xfId="0" applyNumberFormat="1" applyFill="1"/>
    <xf numFmtId="10" fontId="0" fillId="8" borderId="0" xfId="0" applyNumberFormat="1" applyFill="1"/>
    <xf numFmtId="164" fontId="0" fillId="8" borderId="0" xfId="0" applyNumberFormat="1" applyFill="1"/>
    <xf numFmtId="9" fontId="0" fillId="16" borderId="0" xfId="0" applyNumberFormat="1" applyFill="1"/>
    <xf numFmtId="10" fontId="0" fillId="16" borderId="0" xfId="0" applyNumberFormat="1" applyFill="1"/>
    <xf numFmtId="9" fontId="0" fillId="7" borderId="0" xfId="0" applyNumberFormat="1" applyFill="1"/>
    <xf numFmtId="0" fontId="11" fillId="12" borderId="0" xfId="0" applyFont="1" applyFill="1"/>
    <xf numFmtId="0" fontId="10" fillId="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168" fontId="0" fillId="7" borderId="0" xfId="0" applyNumberFormat="1" applyFill="1"/>
    <xf numFmtId="0" fontId="15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0" borderId="0" xfId="0" applyFont="1"/>
    <xf numFmtId="0" fontId="1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1" fontId="10" fillId="8" borderId="0" xfId="0" applyNumberFormat="1" applyFont="1" applyFill="1" applyAlignment="1">
      <alignment horizontal="center"/>
    </xf>
    <xf numFmtId="0" fontId="10" fillId="0" borderId="0" xfId="0" applyFont="1"/>
    <xf numFmtId="0" fontId="10" fillId="8" borderId="0" xfId="0" applyFont="1" applyFill="1" applyAlignment="1">
      <alignment horizontal="center"/>
    </xf>
    <xf numFmtId="168" fontId="0" fillId="0" borderId="0" xfId="0" applyNumberFormat="1"/>
    <xf numFmtId="0" fontId="11" fillId="6" borderId="0" xfId="0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1" fontId="0" fillId="8" borderId="0" xfId="0" applyNumberFormat="1" applyFill="1"/>
    <xf numFmtId="0" fontId="18" fillId="7" borderId="0" xfId="0" applyFont="1" applyFill="1"/>
    <xf numFmtId="0" fontId="14" fillId="9" borderId="0" xfId="0" applyFont="1" applyFill="1"/>
    <xf numFmtId="10" fontId="12" fillId="0" borderId="0" xfId="0" applyNumberFormat="1" applyFont="1"/>
    <xf numFmtId="10" fontId="12" fillId="8" borderId="0" xfId="0" applyNumberFormat="1" applyFont="1" applyFill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Cashflow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55993000874891"/>
          <c:y val="0.19486111111111112"/>
          <c:w val="0.87753018372703417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v>Cashflow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DCF!$B$5:$G$5</c:f>
              <c:strCache>
                <c:ptCount val="6"/>
                <c:pt idx="0">
                  <c:v>FY 2026 (E)</c:v>
                </c:pt>
                <c:pt idx="1">
                  <c:v>FY 2027 E</c:v>
                </c:pt>
                <c:pt idx="2">
                  <c:v>FY 2028 E</c:v>
                </c:pt>
                <c:pt idx="3">
                  <c:v>FY 2029 E</c:v>
                </c:pt>
                <c:pt idx="4">
                  <c:v>FY 2030 E</c:v>
                </c:pt>
                <c:pt idx="5">
                  <c:v>FY 2031 E</c:v>
                </c:pt>
              </c:strCache>
            </c:strRef>
          </c:cat>
          <c:val>
            <c:numRef>
              <c:f>DCF!$B$12:$H$12</c:f>
              <c:numCache>
                <c:formatCode>0</c:formatCode>
                <c:ptCount val="7"/>
                <c:pt idx="0">
                  <c:v>1061.3837671232882</c:v>
                </c:pt>
                <c:pt idx="1">
                  <c:v>1570.9827802739728</c:v>
                </c:pt>
                <c:pt idx="2">
                  <c:v>2305.955487452055</c:v>
                </c:pt>
                <c:pt idx="3">
                  <c:v>2870.5414683649319</c:v>
                </c:pt>
                <c:pt idx="4">
                  <c:v>3336.4287431748007</c:v>
                </c:pt>
                <c:pt idx="5">
                  <c:v>3815.141602474007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6-4BBB-B0AF-0D51A248C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3248128"/>
        <c:axId val="683262528"/>
      </c:barChart>
      <c:catAx>
        <c:axId val="6832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62528"/>
        <c:crosses val="autoZero"/>
        <c:auto val="1"/>
        <c:lblAlgn val="ctr"/>
        <c:lblOffset val="100"/>
        <c:noMultiLvlLbl val="0"/>
      </c:catAx>
      <c:valAx>
        <c:axId val="6832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4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vs LTV/CAC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1087616652085156"/>
          <c:w val="0.80986592300962379"/>
          <c:h val="0.601581364829396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'Unit Economics'!$A$3</c:f>
              <c:strCache>
                <c:ptCount val="1"/>
                <c:pt idx="0">
                  <c:v>Revenue(M)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'Unit Economics'!$B$2:$I$2</c:f>
              <c:strCache>
                <c:ptCount val="8"/>
                <c:pt idx="0">
                  <c:v>FY 2024</c:v>
                </c:pt>
                <c:pt idx="1">
                  <c:v>FY 2025</c:v>
                </c:pt>
                <c:pt idx="2">
                  <c:v>FY 2026 (E)</c:v>
                </c:pt>
                <c:pt idx="3">
                  <c:v>FY 2027 E</c:v>
                </c:pt>
                <c:pt idx="4">
                  <c:v>FY 2028 E</c:v>
                </c:pt>
                <c:pt idx="5">
                  <c:v>FY 2029 E</c:v>
                </c:pt>
                <c:pt idx="6">
                  <c:v>FY 2030 E</c:v>
                </c:pt>
                <c:pt idx="7">
                  <c:v>FY 2031 E</c:v>
                </c:pt>
              </c:strCache>
            </c:strRef>
          </c:cat>
          <c:val>
            <c:numRef>
              <c:f>'Unit Economics'!$B$3:$I$3</c:f>
              <c:numCache>
                <c:formatCode>0</c:formatCode>
                <c:ptCount val="8"/>
                <c:pt idx="0">
                  <c:v>2667</c:v>
                </c:pt>
                <c:pt idx="1">
                  <c:v>3462</c:v>
                </c:pt>
                <c:pt idx="2">
                  <c:v>4420</c:v>
                </c:pt>
                <c:pt idx="3">
                  <c:v>5569.2</c:v>
                </c:pt>
                <c:pt idx="4">
                  <c:v>6905.808</c:v>
                </c:pt>
                <c:pt idx="5">
                  <c:v>8425.0857599999999</c:v>
                </c:pt>
                <c:pt idx="6">
                  <c:v>10025.8520544</c:v>
                </c:pt>
                <c:pt idx="7">
                  <c:v>11629.988383104001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B-4149-8A04-F55E4F50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0994768"/>
        <c:axId val="600981808"/>
      </c:barChart>
      <c:lineChart>
        <c:grouping val="standard"/>
        <c:varyColors val="0"/>
        <c:ser>
          <c:idx val="1"/>
          <c:order val="1"/>
          <c:tx>
            <c:strRef>
              <c:f>'Unit Economics'!$A$15</c:f>
              <c:strCache>
                <c:ptCount val="1"/>
                <c:pt idx="0">
                  <c:v>LTV / CAC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'Unit Economics'!$B$15:$I$15</c:f>
              <c:numCache>
                <c:formatCode>0.00</c:formatCode>
                <c:ptCount val="8"/>
                <c:pt idx="0">
                  <c:v>4.5454986395855395</c:v>
                </c:pt>
                <c:pt idx="1">
                  <c:v>4.3973190597473701</c:v>
                </c:pt>
                <c:pt idx="2">
                  <c:v>4.8677789541576919</c:v>
                </c:pt>
                <c:pt idx="3">
                  <c:v>5.1117589893100108</c:v>
                </c:pt>
                <c:pt idx="4">
                  <c:v>5.4013605442176864</c:v>
                </c:pt>
                <c:pt idx="5">
                  <c:v>5.5049712192569329</c:v>
                </c:pt>
                <c:pt idx="6">
                  <c:v>5.8760801617944489</c:v>
                </c:pt>
                <c:pt idx="7">
                  <c:v>6.2118561710398481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B-4149-8A04-F55E4F50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868176"/>
        <c:axId val="604285120"/>
      </c:lineChart>
      <c:catAx>
        <c:axId val="6009947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81808"/>
        <c:crosses val="autoZero"/>
        <c:auto val="1"/>
        <c:lblAlgn val="ctr"/>
        <c:lblOffset val="100"/>
        <c:noMultiLvlLbl val="0"/>
      </c:catAx>
      <c:valAx>
        <c:axId val="6009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  <a:alpha val="96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ysClr val="windowText" lastClr="000000">
                        <a:lumMod val="65000"/>
                        <a:lumOff val="35000"/>
                        <a:alpha val="96000"/>
                      </a:sysClr>
                    </a:solidFill>
                  </a:rPr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  <a:alpha val="96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94768"/>
        <c:crosses val="autoZero"/>
        <c:crossBetween val="between"/>
      </c:valAx>
      <c:valAx>
        <c:axId val="6042851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LTV/CAC</a:t>
                </a:r>
              </a:p>
            </c:rich>
          </c:tx>
          <c:layout>
            <c:manualLayout>
              <c:xMode val="edge"/>
              <c:yMode val="edge"/>
              <c:x val="0.89369184889040587"/>
              <c:y val="2.283938466025082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68176"/>
        <c:crosses val="max"/>
        <c:crossBetween val="between"/>
      </c:valAx>
      <c:catAx>
        <c:axId val="603868176"/>
        <c:scaling>
          <c:orientation val="minMax"/>
        </c:scaling>
        <c:delete val="1"/>
        <c:axPos val="b"/>
        <c:majorTickMark val="out"/>
        <c:minorTickMark val="none"/>
        <c:tickLblPos val="nextTo"/>
        <c:crossAx val="604285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420713035870515"/>
          <c:y val="0.84337890055409737"/>
          <c:w val="0.48801509186351705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Dashboard!$A$44</c:f>
              <c:strCache>
                <c:ptCount val="1"/>
                <c:pt idx="0">
                  <c:v>Rule of 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Dashboard!$B$39:$G$39</c:f>
              <c:strCache>
                <c:ptCount val="6"/>
                <c:pt idx="0">
                  <c:v>FY 2026 (E)</c:v>
                </c:pt>
                <c:pt idx="1">
                  <c:v>FY 2027 E</c:v>
                </c:pt>
                <c:pt idx="2">
                  <c:v>FY 2028 E</c:v>
                </c:pt>
                <c:pt idx="3">
                  <c:v>FY 2029 E</c:v>
                </c:pt>
                <c:pt idx="4">
                  <c:v>FY 2030 E</c:v>
                </c:pt>
                <c:pt idx="5">
                  <c:v>FY 2031 E</c:v>
                </c:pt>
              </c:strCache>
            </c:strRef>
          </c:cat>
          <c:val>
            <c:numRef>
              <c:f>Dashboard!$B$44:$G$44</c:f>
              <c:numCache>
                <c:formatCode>0.00%</c:formatCode>
                <c:ptCount val="6"/>
                <c:pt idx="0">
                  <c:v>0.5011007337440514</c:v>
                </c:pt>
                <c:pt idx="1">
                  <c:v>0.52633410189506091</c:v>
                </c:pt>
                <c:pt idx="2">
                  <c:v>0.558165377817057</c:v>
                </c:pt>
                <c:pt idx="3">
                  <c:v>0.5449636200314395</c:v>
                </c:pt>
                <c:pt idx="4">
                  <c:v>0.50703256302521016</c:v>
                </c:pt>
                <c:pt idx="5">
                  <c:v>0.47229345772319342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9-4CE2-A8B8-D25D09AEC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341008"/>
        <c:axId val="593340048"/>
      </c:lineChart>
      <c:catAx>
        <c:axId val="5933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40048"/>
        <c:crosses val="autoZero"/>
        <c:auto val="1"/>
        <c:lblAlgn val="ctr"/>
        <c:lblOffset val="100"/>
        <c:noMultiLvlLbl val="0"/>
      </c:catAx>
      <c:valAx>
        <c:axId val="593340048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91440</xdr:rowOff>
    </xdr:from>
    <xdr:to>
      <xdr:col>7</xdr:col>
      <xdr:colOff>7620</xdr:colOff>
      <xdr:row>29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0EE66-B807-4331-B0B3-C1A4633B6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16</xdr:row>
      <xdr:rowOff>68580</xdr:rowOff>
    </xdr:from>
    <xdr:to>
      <xdr:col>14</xdr:col>
      <xdr:colOff>594360</xdr:colOff>
      <xdr:row>18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B51542-700C-46BA-A87C-760A94BD34EF}"/>
            </a:ext>
          </a:extLst>
        </xdr:cNvPr>
        <xdr:cNvSpPr txBox="1"/>
      </xdr:nvSpPr>
      <xdr:spPr>
        <a:xfrm>
          <a:off x="6690360" y="2263140"/>
          <a:ext cx="3048000" cy="32004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Sensitive Analysis</a:t>
          </a:r>
        </a:p>
      </xdr:txBody>
    </xdr:sp>
    <xdr:clientData/>
  </xdr:twoCellAnchor>
  <xdr:twoCellAnchor>
    <xdr:from>
      <xdr:col>11</xdr:col>
      <xdr:colOff>457200</xdr:colOff>
      <xdr:row>18</xdr:row>
      <xdr:rowOff>114300</xdr:rowOff>
    </xdr:from>
    <xdr:to>
      <xdr:col>12</xdr:col>
      <xdr:colOff>449580</xdr:colOff>
      <xdr:row>20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AA3E9D-7EF1-44C3-8055-1EA01D3BEFBF}"/>
            </a:ext>
          </a:extLst>
        </xdr:cNvPr>
        <xdr:cNvSpPr txBox="1"/>
      </xdr:nvSpPr>
      <xdr:spPr>
        <a:xfrm>
          <a:off x="7772400" y="2674620"/>
          <a:ext cx="601980" cy="25908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WACC</a:t>
          </a:r>
        </a:p>
      </xdr:txBody>
    </xdr:sp>
    <xdr:clientData/>
  </xdr:twoCellAnchor>
  <xdr:oneCellAnchor>
    <xdr:from>
      <xdr:col>8</xdr:col>
      <xdr:colOff>523214</xdr:colOff>
      <xdr:row>21</xdr:row>
      <xdr:rowOff>132109</xdr:rowOff>
    </xdr:from>
    <xdr:ext cx="264560" cy="115858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83F1C6-4DFE-4A45-8973-65E7FC84B287}"/>
            </a:ext>
          </a:extLst>
        </xdr:cNvPr>
        <xdr:cNvSpPr txBox="1"/>
      </xdr:nvSpPr>
      <xdr:spPr>
        <a:xfrm rot="5400000">
          <a:off x="5562600" y="3688083"/>
          <a:ext cx="1158587" cy="26456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Terminal Growth</a:t>
          </a:r>
        </a:p>
      </xdr:txBody>
    </xdr:sp>
    <xdr:clientData/>
  </xdr:oneCellAnchor>
  <xdr:twoCellAnchor>
    <xdr:from>
      <xdr:col>0</xdr:col>
      <xdr:colOff>0</xdr:colOff>
      <xdr:row>0</xdr:row>
      <xdr:rowOff>22860</xdr:rowOff>
    </xdr:from>
    <xdr:to>
      <xdr:col>6</xdr:col>
      <xdr:colOff>571500</xdr:colOff>
      <xdr:row>14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95DD45-32C4-4873-AC16-424DDAC8E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30480</xdr:colOff>
      <xdr:row>0</xdr:row>
      <xdr:rowOff>15240</xdr:rowOff>
    </xdr:from>
    <xdr:to>
      <xdr:col>14</xdr:col>
      <xdr:colOff>533400</xdr:colOff>
      <xdr:row>14</xdr:row>
      <xdr:rowOff>83820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DE2E52B-EE0F-4B9C-8D24-A95A97435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0.11294</cdr:x>
      <cdr:y>0.64831</cdr:y>
    </cdr:from>
    <cdr:to>
      <cdr:x>0.97558</cdr:x>
      <cdr:y>0.65121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2F8F7E87-78B9-13C1-8607-585A0B512735}"/>
            </a:ext>
          </a:extLst>
        </cdr:cNvPr>
        <cdr:cNvCxnSpPr/>
      </cdr:nvCxnSpPr>
      <cdr:spPr>
        <a:xfrm xmlns:a="http://schemas.openxmlformats.org/drawingml/2006/main" flipV="1">
          <a:off x="469900" y="1704340"/>
          <a:ext cx="3589020" cy="762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13</xdr:row>
      <xdr:rowOff>152400</xdr:rowOff>
    </xdr:from>
    <xdr:to>
      <xdr:col>12</xdr:col>
      <xdr:colOff>190500</xdr:colOff>
      <xdr:row>21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4926C4-062D-538F-1DD5-3FAF81CF58FB}"/>
            </a:ext>
          </a:extLst>
        </xdr:cNvPr>
        <xdr:cNvSpPr txBox="1"/>
      </xdr:nvSpPr>
      <xdr:spPr>
        <a:xfrm>
          <a:off x="129540" y="3566160"/>
          <a:ext cx="8610600" cy="137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Notes</a:t>
          </a:r>
        </a:p>
        <a:p>
          <a:r>
            <a:rPr lang="en-IN" sz="1100"/>
            <a:t>Implied new revenue can be negative</a:t>
          </a:r>
          <a:r>
            <a:rPr lang="en-IN" sz="1100" baseline="0"/>
            <a:t> in conservative scenarios, reflecting reliance on NRR and potential net customer loss as growth matures</a:t>
          </a: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19</xdr:row>
      <xdr:rowOff>7620</xdr:rowOff>
    </xdr:from>
    <xdr:to>
      <xdr:col>13</xdr:col>
      <xdr:colOff>533400</xdr:colOff>
      <xdr:row>20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641DA0-4A45-DBAF-1B14-3D5CE462B573}"/>
            </a:ext>
          </a:extLst>
        </xdr:cNvPr>
        <xdr:cNvSpPr txBox="1"/>
      </xdr:nvSpPr>
      <xdr:spPr>
        <a:xfrm>
          <a:off x="8862060" y="3421380"/>
          <a:ext cx="3261360" cy="32004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Sensitive Analysis</a:t>
          </a:r>
        </a:p>
      </xdr:txBody>
    </xdr:sp>
    <xdr:clientData/>
  </xdr:twoCellAnchor>
  <xdr:twoCellAnchor>
    <xdr:from>
      <xdr:col>11</xdr:col>
      <xdr:colOff>7620</xdr:colOff>
      <xdr:row>21</xdr:row>
      <xdr:rowOff>30480</xdr:rowOff>
    </xdr:from>
    <xdr:to>
      <xdr:col>11</xdr:col>
      <xdr:colOff>769620</xdr:colOff>
      <xdr:row>22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3FB07C-C52B-2BD4-B645-DA30CD67A7F7}"/>
            </a:ext>
          </a:extLst>
        </xdr:cNvPr>
        <xdr:cNvSpPr txBox="1"/>
      </xdr:nvSpPr>
      <xdr:spPr>
        <a:xfrm>
          <a:off x="9951720" y="3810000"/>
          <a:ext cx="762000" cy="25908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WACC</a:t>
          </a:r>
        </a:p>
      </xdr:txBody>
    </xdr:sp>
    <xdr:clientData/>
  </xdr:twoCellAnchor>
  <xdr:oneCellAnchor>
    <xdr:from>
      <xdr:col>8</xdr:col>
      <xdr:colOff>104114</xdr:colOff>
      <xdr:row>23</xdr:row>
      <xdr:rowOff>208308</xdr:rowOff>
    </xdr:from>
    <xdr:ext cx="264560" cy="115858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48944D-F282-BCD4-B4E2-2E42FB51E21F}"/>
            </a:ext>
          </a:extLst>
        </xdr:cNvPr>
        <xdr:cNvSpPr txBox="1"/>
      </xdr:nvSpPr>
      <xdr:spPr>
        <a:xfrm rot="5400000">
          <a:off x="7132320" y="4983482"/>
          <a:ext cx="1158587" cy="26456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Terminal Growth</a:t>
          </a:r>
        </a:p>
      </xdr:txBody>
    </xdr:sp>
    <xdr:clientData/>
  </xdr:oneCellAnchor>
  <xdr:twoCellAnchor>
    <xdr:from>
      <xdr:col>9</xdr:col>
      <xdr:colOff>0</xdr:colOff>
      <xdr:row>22</xdr:row>
      <xdr:rowOff>350520</xdr:rowOff>
    </xdr:from>
    <xdr:to>
      <xdr:col>13</xdr:col>
      <xdr:colOff>815340</xdr:colOff>
      <xdr:row>23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C5C5CD2-6DE8-07D5-0640-44294F0BE2F7}"/>
            </a:ext>
          </a:extLst>
        </xdr:cNvPr>
        <xdr:cNvCxnSpPr/>
      </xdr:nvCxnSpPr>
      <xdr:spPr>
        <a:xfrm flipV="1">
          <a:off x="8298180" y="4312920"/>
          <a:ext cx="4107180" cy="152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815340</xdr:colOff>
      <xdr:row>22</xdr:row>
      <xdr:rowOff>327660</xdr:rowOff>
    </xdr:from>
    <xdr:to>
      <xdr:col>9</xdr:col>
      <xdr:colOff>7620</xdr:colOff>
      <xdr:row>28</xdr:row>
      <xdr:rowOff>7620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D543050-F92E-1F7C-4F32-6CA3DF2CC4F1}"/>
            </a:ext>
          </a:extLst>
        </xdr:cNvPr>
        <xdr:cNvCxnSpPr/>
      </xdr:nvCxnSpPr>
      <xdr:spPr>
        <a:xfrm flipH="1">
          <a:off x="8290560" y="4290060"/>
          <a:ext cx="15240" cy="14173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28</xdr:row>
      <xdr:rowOff>0</xdr:rowOff>
    </xdr:from>
    <xdr:to>
      <xdr:col>13</xdr:col>
      <xdr:colOff>800100</xdr:colOff>
      <xdr:row>28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95115F5-5787-ED8A-A9F5-3B108A3397D7}"/>
            </a:ext>
          </a:extLst>
        </xdr:cNvPr>
        <xdr:cNvCxnSpPr/>
      </xdr:nvCxnSpPr>
      <xdr:spPr>
        <a:xfrm>
          <a:off x="8313420" y="5699760"/>
          <a:ext cx="40767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22</xdr:row>
      <xdr:rowOff>350520</xdr:rowOff>
    </xdr:from>
    <xdr:to>
      <xdr:col>14</xdr:col>
      <xdr:colOff>38100</xdr:colOff>
      <xdr:row>27</xdr:row>
      <xdr:rowOff>167640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1216F1D-7DD5-0370-3B2D-0B10B4D4F74D}"/>
            </a:ext>
          </a:extLst>
        </xdr:cNvPr>
        <xdr:cNvCxnSpPr/>
      </xdr:nvCxnSpPr>
      <xdr:spPr>
        <a:xfrm flipH="1">
          <a:off x="12420600" y="4312920"/>
          <a:ext cx="30480" cy="1371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68580</xdr:rowOff>
    </xdr:from>
    <xdr:to>
      <xdr:col>5</xdr:col>
      <xdr:colOff>304800</xdr:colOff>
      <xdr:row>31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B5C62F-6FB0-422D-CFA7-BABDD5B0214B}"/>
            </a:ext>
          </a:extLst>
        </xdr:cNvPr>
        <xdr:cNvSpPr txBox="1"/>
      </xdr:nvSpPr>
      <xdr:spPr>
        <a:xfrm>
          <a:off x="0" y="4945380"/>
          <a:ext cx="5654040" cy="11658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NOTES-</a:t>
          </a:r>
        </a:p>
        <a:p>
          <a:r>
            <a:rPr lang="en-IN" sz="1100"/>
            <a:t>High Payback Period reflects Snowflake 'Land and Expand strategy '</a:t>
          </a:r>
          <a:r>
            <a:rPr lang="en-IN" sz="1100" baseline="0"/>
            <a:t> Strategy. They spend heavily upfront to acquire enterprise logos. While the initial payback looks long based on starting ARPA, the LTV/CAC ratio of &gt;4.0x proves that these customers are highly profitable over their lifetime due to massive expansion(NRR)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17BF-182C-4EFA-A7BC-7545B597F815}">
  <sheetPr>
    <tabColor rgb="FFFFFF00"/>
  </sheetPr>
  <dimension ref="A17:O44"/>
  <sheetViews>
    <sheetView workbookViewId="0">
      <selection activeCell="Q8" sqref="Q8"/>
    </sheetView>
  </sheetViews>
  <sheetFormatPr defaultRowHeight="14.4" x14ac:dyDescent="0.3"/>
  <sheetData>
    <row r="17" spans="9:15" x14ac:dyDescent="0.3">
      <c r="I17" s="6"/>
      <c r="J17" s="6"/>
      <c r="K17" s="6"/>
      <c r="L17" s="6"/>
      <c r="M17" s="6"/>
      <c r="N17" s="6"/>
      <c r="O17" s="6"/>
    </row>
    <row r="22" spans="9:15" x14ac:dyDescent="0.3">
      <c r="J22" s="58">
        <f>D31</f>
        <v>0</v>
      </c>
      <c r="K22" s="63">
        <v>7.0000000000000007E-2</v>
      </c>
      <c r="L22" s="64">
        <v>7.4999999999999997E-2</v>
      </c>
      <c r="M22" s="64">
        <v>0.08</v>
      </c>
      <c r="N22" s="64">
        <v>8.5000000000000006E-2</v>
      </c>
      <c r="O22" s="64">
        <v>9.5000000000000001E-2</v>
      </c>
    </row>
    <row r="23" spans="9:15" x14ac:dyDescent="0.3">
      <c r="J23" s="44">
        <v>2.5000000000000001E-2</v>
      </c>
      <c r="K23" s="59">
        <v>202.4010238206273</v>
      </c>
      <c r="L23" s="59">
        <v>181.26705910264747</v>
      </c>
      <c r="M23" s="59">
        <v>164.00201082734162</v>
      </c>
      <c r="N23" s="59">
        <v>149.63801795524668</v>
      </c>
      <c r="O23" s="59">
        <v>127.12449811048873</v>
      </c>
    </row>
    <row r="24" spans="9:15" x14ac:dyDescent="0.3">
      <c r="J24" s="44">
        <v>3.5000000000000003E-2</v>
      </c>
      <c r="K24" s="59">
        <v>251.48027337908226</v>
      </c>
      <c r="L24" s="59">
        <v>219.02645549374895</v>
      </c>
      <c r="M24" s="59">
        <v>193.81485289353463</v>
      </c>
      <c r="N24" s="59">
        <v>173.67209308764589</v>
      </c>
      <c r="O24" s="59">
        <v>143.52199185295896</v>
      </c>
    </row>
    <row r="25" spans="9:15" x14ac:dyDescent="0.3">
      <c r="J25" s="65">
        <v>0.04</v>
      </c>
      <c r="K25" s="59">
        <v>288.28971054792339</v>
      </c>
      <c r="L25" s="59">
        <v>245.99745291596429</v>
      </c>
      <c r="M25" s="59">
        <v>214.31118181404238</v>
      </c>
      <c r="N25" s="60">
        <v>189.69480984257876</v>
      </c>
      <c r="O25" s="59">
        <v>153.95676059816722</v>
      </c>
    </row>
    <row r="26" spans="9:15" x14ac:dyDescent="0.3">
      <c r="J26" s="65">
        <v>0.05</v>
      </c>
      <c r="K26" s="59">
        <v>417.12274063886758</v>
      </c>
      <c r="L26" s="59">
        <v>332.30464466705337</v>
      </c>
      <c r="M26" s="59">
        <v>275.80016857556564</v>
      </c>
      <c r="N26" s="59">
        <v>235.47400057095822</v>
      </c>
      <c r="O26" s="59">
        <v>181.78281058538943</v>
      </c>
    </row>
    <row r="27" spans="9:15" x14ac:dyDescent="0.3">
      <c r="J27" s="65">
        <v>0.06</v>
      </c>
      <c r="K27" s="59">
        <v>803.62183091169982</v>
      </c>
      <c r="L27" s="59">
        <v>533.68809208626124</v>
      </c>
      <c r="M27" s="59">
        <v>398.77814209861185</v>
      </c>
      <c r="N27" s="59">
        <v>317.87654388204129</v>
      </c>
      <c r="O27" s="59">
        <v>225.50946056530998</v>
      </c>
    </row>
    <row r="39" spans="1:7" x14ac:dyDescent="0.3">
      <c r="B39" t="str">
        <f>'Profit and loss statement'!E2</f>
        <v>FY 2026 (E)</v>
      </c>
      <c r="C39" t="str">
        <f>'Profit and loss statement'!F2</f>
        <v>FY 2027 E</v>
      </c>
      <c r="D39" t="str">
        <f>'Profit and loss statement'!G2</f>
        <v>FY 2028 E</v>
      </c>
      <c r="E39" t="str">
        <f>'Profit and loss statement'!H2</f>
        <v>FY 2029 E</v>
      </c>
      <c r="F39" t="str">
        <f>'Profit and loss statement'!I2</f>
        <v>FY 2030 E</v>
      </c>
      <c r="G39" t="str">
        <f>'Profit and loss statement'!J2</f>
        <v>FY 2031 E</v>
      </c>
    </row>
    <row r="40" spans="1:7" x14ac:dyDescent="0.3">
      <c r="A40" t="s">
        <v>201</v>
      </c>
      <c r="B40" s="6">
        <f>'Profit and loss statement'!E3</f>
        <v>4420</v>
      </c>
      <c r="C40" s="6">
        <f>'Profit and loss statement'!F3</f>
        <v>5569.2</v>
      </c>
      <c r="D40" s="6">
        <f>'Profit and loss statement'!G3</f>
        <v>6905.808</v>
      </c>
      <c r="E40" s="6">
        <f>'Profit and loss statement'!H3</f>
        <v>8425.0857599999999</v>
      </c>
      <c r="F40" s="6">
        <f>'Profit and loss statement'!I3</f>
        <v>10025.8520544</v>
      </c>
      <c r="G40" s="6">
        <f>'Profit and loss statement'!J3</f>
        <v>11629.988383104001</v>
      </c>
    </row>
    <row r="41" spans="1:7" x14ac:dyDescent="0.3">
      <c r="A41" t="s">
        <v>215</v>
      </c>
      <c r="B41" s="10">
        <f>'Revenue Model'!E5</f>
        <v>0.27671865973425763</v>
      </c>
      <c r="C41" s="10">
        <f>'Revenue Model'!F5</f>
        <v>0.26</v>
      </c>
      <c r="D41" s="10">
        <f>'Revenue Model'!G5</f>
        <v>0.24</v>
      </c>
      <c r="E41" s="10">
        <f>'Revenue Model'!H5</f>
        <v>0.22</v>
      </c>
      <c r="F41" s="10">
        <f>'Revenue Model'!I5</f>
        <v>0.19</v>
      </c>
      <c r="G41" s="10">
        <f>'Revenue Model'!J5</f>
        <v>0.16</v>
      </c>
    </row>
    <row r="42" spans="1:7" x14ac:dyDescent="0.3">
      <c r="A42" t="s">
        <v>213</v>
      </c>
      <c r="B42" s="42">
        <f>DCF!B16</f>
        <v>991.76876712328817</v>
      </c>
      <c r="C42" s="42">
        <f>DCF!C16</f>
        <v>1483.2678802739729</v>
      </c>
      <c r="D42" s="42">
        <f>DCF!D16</f>
        <v>2197.1890114520552</v>
      </c>
      <c r="E42" s="42">
        <f>DCF!E16</f>
        <v>2737.8463676449319</v>
      </c>
      <c r="F42" s="42">
        <f>DCF!F16</f>
        <v>3178.5215733180007</v>
      </c>
      <c r="G42" s="42">
        <f>DCF!G16</f>
        <v>3631.9692854401192</v>
      </c>
    </row>
    <row r="43" spans="1:7" x14ac:dyDescent="0.3">
      <c r="A43" t="s">
        <v>214</v>
      </c>
      <c r="B43" s="10">
        <f>B42/B40</f>
        <v>0.22438207400979371</v>
      </c>
      <c r="C43" s="10">
        <f t="shared" ref="C43:G43" si="0">C42/C40</f>
        <v>0.26633410189506085</v>
      </c>
      <c r="D43" s="10">
        <f t="shared" si="0"/>
        <v>0.31816537781705706</v>
      </c>
      <c r="E43" s="10">
        <f t="shared" si="0"/>
        <v>0.32496362003143953</v>
      </c>
      <c r="F43" s="10">
        <f t="shared" si="0"/>
        <v>0.31703256302521016</v>
      </c>
      <c r="G43" s="10">
        <f t="shared" si="0"/>
        <v>0.31229345772319339</v>
      </c>
    </row>
    <row r="44" spans="1:7" x14ac:dyDescent="0.3">
      <c r="A44" t="s">
        <v>216</v>
      </c>
      <c r="B44" s="10">
        <f>B41+B43</f>
        <v>0.5011007337440514</v>
      </c>
      <c r="C44" s="10">
        <f t="shared" ref="C44:G44" si="1">C41+C43</f>
        <v>0.52633410189506091</v>
      </c>
      <c r="D44" s="10">
        <f t="shared" si="1"/>
        <v>0.558165377817057</v>
      </c>
      <c r="E44" s="10">
        <f t="shared" si="1"/>
        <v>0.5449636200314395</v>
      </c>
      <c r="F44" s="10">
        <f t="shared" si="1"/>
        <v>0.50703256302521016</v>
      </c>
      <c r="G44" s="10">
        <f t="shared" si="1"/>
        <v>0.47229345772319342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54"/>
  <sheetViews>
    <sheetView workbookViewId="0">
      <selection activeCell="E9" sqref="E9"/>
    </sheetView>
  </sheetViews>
  <sheetFormatPr defaultRowHeight="14.4" x14ac:dyDescent="0.3"/>
  <cols>
    <col min="1" max="1" width="30" customWidth="1"/>
    <col min="2" max="2" width="15" customWidth="1"/>
    <col min="3" max="3" width="30" customWidth="1"/>
    <col min="4" max="4" width="14.44140625" customWidth="1"/>
    <col min="5" max="5" width="16.44140625" customWidth="1"/>
    <col min="6" max="6" width="17.33203125" customWidth="1"/>
  </cols>
  <sheetData>
    <row r="1" spans="1:3" ht="24" customHeight="1" x14ac:dyDescent="0.3">
      <c r="A1" s="70" t="s">
        <v>192</v>
      </c>
      <c r="B1" s="71"/>
      <c r="C1" s="71"/>
    </row>
    <row r="2" spans="1:3" ht="16.05" customHeight="1" x14ac:dyDescent="0.3">
      <c r="A2" s="72" t="s">
        <v>0</v>
      </c>
      <c r="B2" s="72"/>
      <c r="C2" s="72"/>
    </row>
    <row r="4" spans="1:3" s="34" customFormat="1" ht="15.6" x14ac:dyDescent="0.3">
      <c r="A4" s="86" t="s">
        <v>42</v>
      </c>
      <c r="B4" s="32" t="s">
        <v>45</v>
      </c>
      <c r="C4" s="33" t="s">
        <v>73</v>
      </c>
    </row>
    <row r="5" spans="1:3" x14ac:dyDescent="0.3">
      <c r="A5" s="22" t="s">
        <v>43</v>
      </c>
      <c r="B5" s="23">
        <v>46023</v>
      </c>
      <c r="C5" s="18" t="s">
        <v>74</v>
      </c>
    </row>
    <row r="6" spans="1:3" x14ac:dyDescent="0.3">
      <c r="A6" s="24" t="s">
        <v>44</v>
      </c>
      <c r="B6" s="25" t="s">
        <v>91</v>
      </c>
      <c r="C6" s="18" t="s">
        <v>92</v>
      </c>
    </row>
    <row r="7" spans="1:3" x14ac:dyDescent="0.3">
      <c r="A7" s="29" t="s">
        <v>1</v>
      </c>
      <c r="B7" s="25"/>
      <c r="C7" s="19"/>
    </row>
    <row r="8" spans="1:3" x14ac:dyDescent="0.3">
      <c r="A8" s="87" t="s">
        <v>46</v>
      </c>
      <c r="B8" s="25"/>
      <c r="C8" s="19"/>
    </row>
    <row r="9" spans="1:3" ht="28.2" x14ac:dyDescent="0.3">
      <c r="A9" s="26" t="s">
        <v>47</v>
      </c>
      <c r="B9" s="27">
        <v>4420</v>
      </c>
      <c r="C9" s="18"/>
    </row>
    <row r="10" spans="1:3" x14ac:dyDescent="0.3">
      <c r="A10" s="26" t="s">
        <v>103</v>
      </c>
      <c r="B10" s="27" t="s">
        <v>104</v>
      </c>
      <c r="C10" s="18"/>
    </row>
    <row r="11" spans="1:3" ht="42" x14ac:dyDescent="0.3">
      <c r="A11" s="24" t="s">
        <v>48</v>
      </c>
      <c r="B11" s="28">
        <v>0.26</v>
      </c>
      <c r="C11" s="18" t="s">
        <v>75</v>
      </c>
    </row>
    <row r="12" spans="1:3" ht="28.2" x14ac:dyDescent="0.3">
      <c r="A12" s="24" t="s">
        <v>49</v>
      </c>
      <c r="B12" s="28">
        <v>0.24</v>
      </c>
      <c r="C12" s="18" t="s">
        <v>76</v>
      </c>
    </row>
    <row r="13" spans="1:3" x14ac:dyDescent="0.3">
      <c r="A13" s="24" t="s">
        <v>50</v>
      </c>
      <c r="B13" s="28">
        <v>0.22</v>
      </c>
      <c r="C13" s="18"/>
    </row>
    <row r="14" spans="1:3" x14ac:dyDescent="0.3">
      <c r="A14" s="29" t="s">
        <v>51</v>
      </c>
      <c r="B14" s="28">
        <v>0.19</v>
      </c>
      <c r="C14" s="19"/>
    </row>
    <row r="15" spans="1:3" x14ac:dyDescent="0.3">
      <c r="A15" s="29" t="s">
        <v>52</v>
      </c>
      <c r="B15" s="28" t="s">
        <v>69</v>
      </c>
      <c r="C15" s="18" t="s">
        <v>77</v>
      </c>
    </row>
    <row r="16" spans="1:3" x14ac:dyDescent="0.3">
      <c r="A16" s="29" t="s">
        <v>206</v>
      </c>
      <c r="B16" s="28">
        <v>0.14000000000000001</v>
      </c>
      <c r="C16" s="18"/>
    </row>
    <row r="17" spans="1:3" x14ac:dyDescent="0.3">
      <c r="A17" s="29" t="s">
        <v>207</v>
      </c>
      <c r="B17" s="28">
        <v>0.09</v>
      </c>
      <c r="C17" s="18"/>
    </row>
    <row r="18" spans="1:3" x14ac:dyDescent="0.3">
      <c r="A18" s="29" t="s">
        <v>205</v>
      </c>
      <c r="B18" s="28">
        <v>0.1</v>
      </c>
      <c r="C18" s="18"/>
    </row>
    <row r="19" spans="1:3" x14ac:dyDescent="0.3">
      <c r="A19" s="22" t="s">
        <v>53</v>
      </c>
      <c r="B19" s="28">
        <v>0.04</v>
      </c>
      <c r="C19" s="18" t="s">
        <v>78</v>
      </c>
    </row>
    <row r="20" spans="1:3" x14ac:dyDescent="0.3">
      <c r="A20" s="24" t="s">
        <v>54</v>
      </c>
      <c r="B20" s="30">
        <v>0.03</v>
      </c>
      <c r="C20" s="18"/>
    </row>
    <row r="21" spans="1:3" x14ac:dyDescent="0.3">
      <c r="A21" s="24" t="s">
        <v>55</v>
      </c>
      <c r="B21" s="30">
        <v>1.26</v>
      </c>
      <c r="C21" s="18" t="s">
        <v>79</v>
      </c>
    </row>
    <row r="22" spans="1:3" x14ac:dyDescent="0.3">
      <c r="A22" s="24" t="s">
        <v>56</v>
      </c>
      <c r="B22" s="30">
        <v>1.25</v>
      </c>
      <c r="C22" s="18"/>
    </row>
    <row r="23" spans="1:3" x14ac:dyDescent="0.3">
      <c r="A23" s="29" t="s">
        <v>57</v>
      </c>
      <c r="B23" s="31">
        <v>1.23</v>
      </c>
      <c r="C23" s="18" t="s">
        <v>80</v>
      </c>
    </row>
    <row r="24" spans="1:3" x14ac:dyDescent="0.3">
      <c r="A24" s="87" t="s">
        <v>58</v>
      </c>
      <c r="B24" s="25"/>
      <c r="C24" s="19"/>
    </row>
    <row r="25" spans="1:3" ht="28.2" x14ac:dyDescent="0.3">
      <c r="A25" s="24" t="s">
        <v>59</v>
      </c>
      <c r="B25" s="28">
        <v>0.76500000000000001</v>
      </c>
      <c r="C25" s="18" t="s">
        <v>81</v>
      </c>
    </row>
    <row r="26" spans="1:3" x14ac:dyDescent="0.3">
      <c r="A26" s="24"/>
      <c r="B26" s="25"/>
      <c r="C26" s="18"/>
    </row>
    <row r="27" spans="1:3" x14ac:dyDescent="0.3">
      <c r="A27" s="24" t="s">
        <v>61</v>
      </c>
      <c r="B27" s="30">
        <v>0.78</v>
      </c>
      <c r="C27" s="18" t="s">
        <v>82</v>
      </c>
    </row>
    <row r="28" spans="1:3" x14ac:dyDescent="0.3">
      <c r="A28" s="24" t="s">
        <v>95</v>
      </c>
      <c r="B28" s="21">
        <v>654</v>
      </c>
      <c r="C28" s="30" t="s">
        <v>105</v>
      </c>
    </row>
    <row r="29" spans="1:3" x14ac:dyDescent="0.3">
      <c r="A29" s="87" t="s">
        <v>60</v>
      </c>
      <c r="B29" s="25"/>
      <c r="C29" s="19"/>
    </row>
    <row r="30" spans="1:3" ht="28.2" x14ac:dyDescent="0.3">
      <c r="A30" s="29" t="s">
        <v>2</v>
      </c>
      <c r="B30" s="28" t="s">
        <v>134</v>
      </c>
      <c r="C30" s="19" t="s">
        <v>83</v>
      </c>
    </row>
    <row r="31" spans="1:3" ht="28.2" x14ac:dyDescent="0.3">
      <c r="A31" s="24" t="s">
        <v>62</v>
      </c>
      <c r="B31" s="30" t="s">
        <v>133</v>
      </c>
      <c r="C31" s="18" t="s">
        <v>84</v>
      </c>
    </row>
    <row r="32" spans="1:3" x14ac:dyDescent="0.3">
      <c r="A32" s="24" t="s">
        <v>3</v>
      </c>
      <c r="B32" s="30" t="s">
        <v>70</v>
      </c>
      <c r="C32" s="18" t="s">
        <v>85</v>
      </c>
    </row>
    <row r="33" spans="1:3" x14ac:dyDescent="0.3">
      <c r="A33" s="29" t="s">
        <v>63</v>
      </c>
      <c r="B33" s="30" t="s">
        <v>71</v>
      </c>
      <c r="C33" s="18" t="s">
        <v>86</v>
      </c>
    </row>
    <row r="34" spans="1:3" x14ac:dyDescent="0.3">
      <c r="A34" s="87" t="s">
        <v>64</v>
      </c>
      <c r="B34" s="25"/>
      <c r="C34" s="19"/>
    </row>
    <row r="35" spans="1:3" x14ac:dyDescent="0.3">
      <c r="A35" s="24" t="s">
        <v>65</v>
      </c>
      <c r="B35" s="28">
        <v>1.4999999999999999E-2</v>
      </c>
      <c r="C35" s="18" t="s">
        <v>87</v>
      </c>
    </row>
    <row r="36" spans="1:3" x14ac:dyDescent="0.3">
      <c r="A36" s="24" t="s">
        <v>141</v>
      </c>
      <c r="B36" s="28" t="s">
        <v>142</v>
      </c>
      <c r="C36" s="18"/>
    </row>
    <row r="37" spans="1:3" x14ac:dyDescent="0.3">
      <c r="A37" s="24" t="s">
        <v>66</v>
      </c>
      <c r="B37" s="28">
        <v>0.25</v>
      </c>
      <c r="C37" s="18" t="s">
        <v>88</v>
      </c>
    </row>
    <row r="38" spans="1:3" x14ac:dyDescent="0.3">
      <c r="A38" s="24" t="s">
        <v>67</v>
      </c>
      <c r="B38" s="27" t="s">
        <v>72</v>
      </c>
      <c r="C38" s="18" t="s">
        <v>89</v>
      </c>
    </row>
    <row r="39" spans="1:3" x14ac:dyDescent="0.3">
      <c r="A39" s="24" t="s">
        <v>68</v>
      </c>
      <c r="B39" s="27" t="s">
        <v>90</v>
      </c>
      <c r="C39" s="18"/>
    </row>
    <row r="40" spans="1:3" x14ac:dyDescent="0.3">
      <c r="A40" s="24" t="s">
        <v>96</v>
      </c>
      <c r="B40" s="27" t="s">
        <v>97</v>
      </c>
      <c r="C40" s="18"/>
    </row>
    <row r="41" spans="1:3" x14ac:dyDescent="0.3">
      <c r="A41" s="24" t="s">
        <v>98</v>
      </c>
      <c r="B41" s="27" t="s">
        <v>99</v>
      </c>
      <c r="C41" s="18" t="s">
        <v>100</v>
      </c>
    </row>
    <row r="42" spans="1:3" x14ac:dyDescent="0.3">
      <c r="A42" s="24" t="s">
        <v>101</v>
      </c>
      <c r="B42" s="27" t="s">
        <v>102</v>
      </c>
      <c r="C42" s="18"/>
    </row>
    <row r="43" spans="1:3" x14ac:dyDescent="0.3">
      <c r="A43" s="29" t="s">
        <v>93</v>
      </c>
      <c r="B43" s="20" t="s">
        <v>94</v>
      </c>
      <c r="C43" s="21"/>
    </row>
    <row r="44" spans="1:3" x14ac:dyDescent="0.3">
      <c r="A44" s="29" t="s">
        <v>180</v>
      </c>
      <c r="B44" s="88">
        <v>8.5000000000000006E-2</v>
      </c>
      <c r="C44" s="21"/>
    </row>
    <row r="45" spans="1:3" x14ac:dyDescent="0.3">
      <c r="A45" s="24" t="s">
        <v>182</v>
      </c>
      <c r="B45" s="89">
        <v>0.04</v>
      </c>
      <c r="C45" s="90"/>
    </row>
    <row r="46" spans="1:3" x14ac:dyDescent="0.3">
      <c r="A46" s="13"/>
      <c r="B46" s="62"/>
      <c r="C46" s="1"/>
    </row>
    <row r="47" spans="1:3" x14ac:dyDescent="0.3">
      <c r="A47" s="13"/>
      <c r="B47" s="62"/>
      <c r="C47" s="1"/>
    </row>
    <row r="48" spans="1:3" x14ac:dyDescent="0.3">
      <c r="B48" s="13"/>
    </row>
    <row r="50" spans="1:6" x14ac:dyDescent="0.3">
      <c r="B50" s="10"/>
      <c r="C50" s="9"/>
      <c r="D50" s="9"/>
      <c r="E50" s="9"/>
      <c r="F50" s="9"/>
    </row>
    <row r="51" spans="1:6" x14ac:dyDescent="0.3">
      <c r="A51" s="9"/>
    </row>
    <row r="52" spans="1:6" x14ac:dyDescent="0.3">
      <c r="A52" s="9"/>
    </row>
    <row r="53" spans="1:6" x14ac:dyDescent="0.3">
      <c r="A53" s="9"/>
    </row>
    <row r="54" spans="1:6" x14ac:dyDescent="0.3">
      <c r="A54" s="9"/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P17"/>
  <sheetViews>
    <sheetView workbookViewId="0">
      <selection activeCell="J2" sqref="J2"/>
    </sheetView>
  </sheetViews>
  <sheetFormatPr defaultRowHeight="14.4" x14ac:dyDescent="0.3"/>
  <cols>
    <col min="1" max="4" width="25" customWidth="1"/>
    <col min="5" max="5" width="15.6640625" customWidth="1"/>
    <col min="6" max="40" width="12" customWidth="1"/>
  </cols>
  <sheetData>
    <row r="1" spans="1:42" ht="24" customHeight="1" x14ac:dyDescent="0.3">
      <c r="A1" s="73" t="s">
        <v>193</v>
      </c>
      <c r="B1" s="73"/>
      <c r="C1" s="73"/>
      <c r="D1" s="73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42" x14ac:dyDescent="0.3">
      <c r="A2" s="12" t="s">
        <v>106</v>
      </c>
      <c r="B2" s="66" t="s">
        <v>129</v>
      </c>
      <c r="C2" s="66" t="s">
        <v>130</v>
      </c>
      <c r="D2" s="66" t="s">
        <v>131</v>
      </c>
      <c r="E2" s="67" t="s">
        <v>195</v>
      </c>
      <c r="F2" s="67" t="s">
        <v>196</v>
      </c>
      <c r="G2" s="67" t="s">
        <v>197</v>
      </c>
      <c r="H2" s="67" t="s">
        <v>198</v>
      </c>
      <c r="I2" s="67" t="s">
        <v>199</v>
      </c>
      <c r="J2" s="67" t="s">
        <v>200</v>
      </c>
      <c r="K2" s="4"/>
      <c r="L2" s="4"/>
      <c r="M2" s="4"/>
      <c r="N2" s="4"/>
      <c r="O2" s="4"/>
      <c r="P2" s="4"/>
      <c r="Q2" s="4"/>
      <c r="R2" s="4"/>
      <c r="S2" s="4"/>
      <c r="T2" s="4" t="s">
        <v>5</v>
      </c>
      <c r="U2" s="4" t="s">
        <v>6</v>
      </c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  <c r="AA2" s="4" t="s">
        <v>12</v>
      </c>
      <c r="AB2" s="4" t="s">
        <v>13</v>
      </c>
      <c r="AC2" s="4" t="s">
        <v>14</v>
      </c>
      <c r="AD2" s="4" t="s">
        <v>15</v>
      </c>
      <c r="AE2" s="4" t="s">
        <v>16</v>
      </c>
      <c r="AF2" s="4" t="s">
        <v>17</v>
      </c>
      <c r="AG2" s="4" t="s">
        <v>18</v>
      </c>
      <c r="AH2" s="4" t="s">
        <v>19</v>
      </c>
      <c r="AI2" s="4" t="s">
        <v>20</v>
      </c>
      <c r="AJ2" s="4" t="s">
        <v>21</v>
      </c>
      <c r="AK2" s="4" t="s">
        <v>22</v>
      </c>
      <c r="AL2" s="4" t="s">
        <v>23</v>
      </c>
      <c r="AM2" s="4" t="s">
        <v>24</v>
      </c>
      <c r="AN2" s="4" t="s">
        <v>25</v>
      </c>
    </row>
    <row r="3" spans="1:42" x14ac:dyDescent="0.3">
      <c r="A3" s="3"/>
      <c r="B3" s="3"/>
      <c r="C3" s="3"/>
      <c r="D3" s="3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>
        <f t="shared" ref="T3:AN3" si="0">S6</f>
        <v>0</v>
      </c>
      <c r="U3" s="6" t="e">
        <f t="shared" si="0"/>
        <v>#REF!</v>
      </c>
      <c r="V3" s="6" t="e">
        <f t="shared" si="0"/>
        <v>#REF!</v>
      </c>
      <c r="W3" s="6" t="e">
        <f t="shared" si="0"/>
        <v>#REF!</v>
      </c>
      <c r="X3" s="6" t="e">
        <f t="shared" si="0"/>
        <v>#REF!</v>
      </c>
      <c r="Y3" s="6" t="e">
        <f t="shared" si="0"/>
        <v>#REF!</v>
      </c>
      <c r="Z3" s="6" t="e">
        <f t="shared" si="0"/>
        <v>#REF!</v>
      </c>
      <c r="AA3" s="6" t="e">
        <f t="shared" si="0"/>
        <v>#REF!</v>
      </c>
      <c r="AB3" s="6" t="e">
        <f t="shared" si="0"/>
        <v>#REF!</v>
      </c>
      <c r="AC3" s="6" t="e">
        <f t="shared" si="0"/>
        <v>#REF!</v>
      </c>
      <c r="AD3" s="6" t="e">
        <f t="shared" si="0"/>
        <v>#REF!</v>
      </c>
      <c r="AE3" s="6" t="e">
        <f t="shared" si="0"/>
        <v>#REF!</v>
      </c>
      <c r="AF3" s="6" t="e">
        <f t="shared" si="0"/>
        <v>#REF!</v>
      </c>
      <c r="AG3" s="6" t="e">
        <f t="shared" si="0"/>
        <v>#REF!</v>
      </c>
      <c r="AH3" s="6" t="e">
        <f t="shared" si="0"/>
        <v>#REF!</v>
      </c>
      <c r="AI3" s="6" t="e">
        <f t="shared" si="0"/>
        <v>#REF!</v>
      </c>
      <c r="AJ3" s="6" t="e">
        <f t="shared" si="0"/>
        <v>#REF!</v>
      </c>
      <c r="AK3" s="6" t="e">
        <f t="shared" si="0"/>
        <v>#REF!</v>
      </c>
      <c r="AL3" s="6" t="e">
        <f t="shared" si="0"/>
        <v>#REF!</v>
      </c>
      <c r="AM3" s="6" t="e">
        <f t="shared" si="0"/>
        <v>#REF!</v>
      </c>
      <c r="AN3" s="6" t="e">
        <f t="shared" si="0"/>
        <v>#REF!</v>
      </c>
    </row>
    <row r="4" spans="1:42" x14ac:dyDescent="0.3">
      <c r="A4" t="s">
        <v>107</v>
      </c>
      <c r="B4">
        <v>1939</v>
      </c>
      <c r="C4">
        <v>2667</v>
      </c>
      <c r="D4">
        <v>3462</v>
      </c>
      <c r="E4" s="6">
        <f>Assumptions!B9</f>
        <v>4420</v>
      </c>
      <c r="F4" s="6">
        <f>E4+(E4*F5)</f>
        <v>5569.2</v>
      </c>
      <c r="G4" s="6">
        <f>F4+(F4*G5)</f>
        <v>6905.808</v>
      </c>
      <c r="H4" s="6">
        <f>G4+(G4*H5)</f>
        <v>8425.0857599999999</v>
      </c>
      <c r="I4" s="6">
        <f>H4+(H4*I5)</f>
        <v>10025.8520544</v>
      </c>
      <c r="J4" s="6">
        <f>I4+(I4*J5)</f>
        <v>11629.988383104001</v>
      </c>
      <c r="K4" s="6"/>
      <c r="L4" s="6"/>
      <c r="M4" s="6"/>
      <c r="N4" s="6"/>
      <c r="O4" s="6"/>
      <c r="P4" s="6"/>
      <c r="Q4" s="6"/>
      <c r="R4" s="6"/>
      <c r="S4" s="6"/>
      <c r="T4" s="6">
        <f t="shared" ref="T4:AN4" si="1">T3*3%</f>
        <v>0</v>
      </c>
      <c r="U4" s="6" t="e">
        <f t="shared" si="1"/>
        <v>#REF!</v>
      </c>
      <c r="V4" s="6" t="e">
        <f t="shared" si="1"/>
        <v>#REF!</v>
      </c>
      <c r="W4" s="6" t="e">
        <f t="shared" si="1"/>
        <v>#REF!</v>
      </c>
      <c r="X4" s="6" t="e">
        <f t="shared" si="1"/>
        <v>#REF!</v>
      </c>
      <c r="Y4" s="6" t="e">
        <f t="shared" si="1"/>
        <v>#REF!</v>
      </c>
      <c r="Z4" s="6" t="e">
        <f t="shared" si="1"/>
        <v>#REF!</v>
      </c>
      <c r="AA4" s="6" t="e">
        <f t="shared" si="1"/>
        <v>#REF!</v>
      </c>
      <c r="AB4" s="6" t="e">
        <f t="shared" si="1"/>
        <v>#REF!</v>
      </c>
      <c r="AC4" s="6" t="e">
        <f t="shared" si="1"/>
        <v>#REF!</v>
      </c>
      <c r="AD4" s="6" t="e">
        <f t="shared" si="1"/>
        <v>#REF!</v>
      </c>
      <c r="AE4" s="6" t="e">
        <f t="shared" si="1"/>
        <v>#REF!</v>
      </c>
      <c r="AF4" s="6" t="e">
        <f t="shared" si="1"/>
        <v>#REF!</v>
      </c>
      <c r="AG4" s="6" t="e">
        <f t="shared" si="1"/>
        <v>#REF!</v>
      </c>
      <c r="AH4" s="6" t="e">
        <f t="shared" si="1"/>
        <v>#REF!</v>
      </c>
      <c r="AI4" s="6" t="e">
        <f t="shared" si="1"/>
        <v>#REF!</v>
      </c>
      <c r="AJ4" s="6" t="e">
        <f t="shared" si="1"/>
        <v>#REF!</v>
      </c>
      <c r="AK4" s="6" t="e">
        <f t="shared" si="1"/>
        <v>#REF!</v>
      </c>
      <c r="AL4" s="6" t="e">
        <f t="shared" si="1"/>
        <v>#REF!</v>
      </c>
      <c r="AM4" s="6" t="e">
        <f t="shared" si="1"/>
        <v>#REF!</v>
      </c>
      <c r="AN4" s="6" t="e">
        <f t="shared" si="1"/>
        <v>#REF!</v>
      </c>
    </row>
    <row r="5" spans="1:42" x14ac:dyDescent="0.3">
      <c r="A5" t="s">
        <v>108</v>
      </c>
      <c r="B5" s="9">
        <v>0.7</v>
      </c>
      <c r="C5" s="9">
        <v>0.38</v>
      </c>
      <c r="D5" s="9">
        <v>0.3</v>
      </c>
      <c r="E5" s="10">
        <f>(E4-D4)/D4</f>
        <v>0.27671865973425763</v>
      </c>
      <c r="F5" s="10">
        <f>Assumptions!B11</f>
        <v>0.26</v>
      </c>
      <c r="G5" s="10">
        <f>Assumptions!B12</f>
        <v>0.24</v>
      </c>
      <c r="H5" s="10">
        <f>Assumptions!B13</f>
        <v>0.22</v>
      </c>
      <c r="I5" s="10">
        <f>Assumptions!B14</f>
        <v>0.19</v>
      </c>
      <c r="J5" s="10">
        <v>0.16</v>
      </c>
      <c r="K5" s="6"/>
      <c r="L5" s="6"/>
      <c r="M5" s="6"/>
      <c r="N5" s="6"/>
      <c r="O5" s="6"/>
      <c r="P5" s="6"/>
      <c r="Q5" s="6"/>
      <c r="R5" s="6"/>
      <c r="S5" s="6"/>
      <c r="T5" s="6">
        <f t="shared" ref="T5:AN5" si="2">T3*2%</f>
        <v>0</v>
      </c>
      <c r="U5" s="6" t="e">
        <f t="shared" si="2"/>
        <v>#REF!</v>
      </c>
      <c r="V5" s="6" t="e">
        <f t="shared" si="2"/>
        <v>#REF!</v>
      </c>
      <c r="W5" s="6" t="e">
        <f t="shared" si="2"/>
        <v>#REF!</v>
      </c>
      <c r="X5" s="6" t="e">
        <f t="shared" si="2"/>
        <v>#REF!</v>
      </c>
      <c r="Y5" s="6" t="e">
        <f t="shared" si="2"/>
        <v>#REF!</v>
      </c>
      <c r="Z5" s="6" t="e">
        <f t="shared" si="2"/>
        <v>#REF!</v>
      </c>
      <c r="AA5" s="6" t="e">
        <f t="shared" si="2"/>
        <v>#REF!</v>
      </c>
      <c r="AB5" s="6" t="e">
        <f t="shared" si="2"/>
        <v>#REF!</v>
      </c>
      <c r="AC5" s="6" t="e">
        <f t="shared" si="2"/>
        <v>#REF!</v>
      </c>
      <c r="AD5" s="6" t="e">
        <f t="shared" si="2"/>
        <v>#REF!</v>
      </c>
      <c r="AE5" s="6" t="e">
        <f t="shared" si="2"/>
        <v>#REF!</v>
      </c>
      <c r="AF5" s="6" t="e">
        <f t="shared" si="2"/>
        <v>#REF!</v>
      </c>
      <c r="AG5" s="6" t="e">
        <f t="shared" si="2"/>
        <v>#REF!</v>
      </c>
      <c r="AH5" s="6" t="e">
        <f t="shared" si="2"/>
        <v>#REF!</v>
      </c>
      <c r="AI5" s="6" t="e">
        <f t="shared" si="2"/>
        <v>#REF!</v>
      </c>
      <c r="AJ5" s="6" t="e">
        <f t="shared" si="2"/>
        <v>#REF!</v>
      </c>
      <c r="AK5" s="6" t="e">
        <f t="shared" si="2"/>
        <v>#REF!</v>
      </c>
      <c r="AL5" s="6" t="e">
        <f t="shared" si="2"/>
        <v>#REF!</v>
      </c>
      <c r="AM5" s="6" t="e">
        <f t="shared" si="2"/>
        <v>#REF!</v>
      </c>
      <c r="AN5" s="6" t="e">
        <f t="shared" si="2"/>
        <v>#REF!</v>
      </c>
    </row>
    <row r="6" spans="1:42" x14ac:dyDescent="0.3">
      <c r="A6" s="38" t="s">
        <v>109</v>
      </c>
      <c r="B6" s="38"/>
      <c r="C6" s="38"/>
      <c r="D6" s="3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 t="e">
        <f>T3+T4-T5+#REF!</f>
        <v>#REF!</v>
      </c>
      <c r="U6" s="6" t="e">
        <f>U3+U4-U5+#REF!</f>
        <v>#REF!</v>
      </c>
      <c r="V6" s="6" t="e">
        <f>V3+V4-V5+#REF!</f>
        <v>#REF!</v>
      </c>
      <c r="W6" s="6" t="e">
        <f>W3+W4-W5+#REF!</f>
        <v>#REF!</v>
      </c>
      <c r="X6" s="6" t="e">
        <f>X3+X4-X5+#REF!</f>
        <v>#REF!</v>
      </c>
      <c r="Y6" s="6" t="e">
        <f>Y3+Y4-Y5+#REF!</f>
        <v>#REF!</v>
      </c>
      <c r="Z6" s="6" t="e">
        <f>Z3+Z4-Z5+#REF!</f>
        <v>#REF!</v>
      </c>
      <c r="AA6" s="6" t="e">
        <f>AA3+AA4-AA5+#REF!</f>
        <v>#REF!</v>
      </c>
      <c r="AB6" s="6" t="e">
        <f>AB3+AB4-AB5+#REF!</f>
        <v>#REF!</v>
      </c>
      <c r="AC6" s="6" t="e">
        <f>AC3+AC4-AC5+#REF!</f>
        <v>#REF!</v>
      </c>
      <c r="AD6" s="6" t="e">
        <f>AD3+AD4-AD5+#REF!</f>
        <v>#REF!</v>
      </c>
      <c r="AE6" s="6" t="e">
        <f>AE3+AE4-AE5+#REF!</f>
        <v>#REF!</v>
      </c>
      <c r="AF6" s="6" t="e">
        <f>AF3+AF4-AF5+#REF!</f>
        <v>#REF!</v>
      </c>
      <c r="AG6" s="6" t="e">
        <f>AG3+AG4-AG5+#REF!</f>
        <v>#REF!</v>
      </c>
      <c r="AH6" s="6" t="e">
        <f>AH3+AH4-AH5+#REF!</f>
        <v>#REF!</v>
      </c>
      <c r="AI6" s="6" t="e">
        <f>AI3+AI4-AI5+#REF!</f>
        <v>#REF!</v>
      </c>
      <c r="AJ6" s="6" t="e">
        <f>AJ3+AJ4-AJ5+#REF!</f>
        <v>#REF!</v>
      </c>
      <c r="AK6" s="6" t="e">
        <f>AK3+AK4-AK5+#REF!</f>
        <v>#REF!</v>
      </c>
      <c r="AL6" s="6" t="e">
        <f>AL3+AL4-AL5+#REF!</f>
        <v>#REF!</v>
      </c>
      <c r="AM6" s="6" t="e">
        <f>AM3+AM4-AM5+#REF!</f>
        <v>#REF!</v>
      </c>
      <c r="AN6" s="6" t="e">
        <f>AN3+AN4-AN5+#REF!</f>
        <v>#REF!</v>
      </c>
      <c r="AO6" s="6" t="e">
        <f>AO3+AO4-AO5+#REF!</f>
        <v>#REF!</v>
      </c>
      <c r="AP6" s="6" t="e">
        <f>AP3+AP4-AP5+#REF!</f>
        <v>#REF!</v>
      </c>
    </row>
    <row r="7" spans="1:42" x14ac:dyDescent="0.3">
      <c r="A7" s="39" t="s">
        <v>110</v>
      </c>
      <c r="B7" s="39"/>
      <c r="C7" s="39" t="s">
        <v>132</v>
      </c>
      <c r="D7" s="39"/>
      <c r="F7" s="6">
        <f>E4</f>
        <v>4420</v>
      </c>
      <c r="G7" s="7">
        <f>F11</f>
        <v>5567</v>
      </c>
      <c r="H7" s="7">
        <f>G11</f>
        <v>6905.808</v>
      </c>
      <c r="I7" s="7">
        <f>H11</f>
        <v>8425.0857599999999</v>
      </c>
      <c r="J7" s="7">
        <f>I11</f>
        <v>10025.8520544</v>
      </c>
    </row>
    <row r="8" spans="1:42" ht="28.8" x14ac:dyDescent="0.3">
      <c r="A8" s="11" t="s">
        <v>111</v>
      </c>
      <c r="B8" s="43">
        <v>1.58</v>
      </c>
      <c r="C8" s="43">
        <v>1.31</v>
      </c>
      <c r="D8" s="43">
        <v>1.26</v>
      </c>
      <c r="E8" s="10">
        <v>1.26</v>
      </c>
      <c r="F8" s="10">
        <f>Assumptions!B21</f>
        <v>1.26</v>
      </c>
      <c r="G8" s="10">
        <f>Assumptions!B22</f>
        <v>1.25</v>
      </c>
      <c r="H8" s="10">
        <f>Assumptions!B23</f>
        <v>1.23</v>
      </c>
      <c r="I8" s="10">
        <f>Assumptions!B23</f>
        <v>1.23</v>
      </c>
      <c r="J8" s="10">
        <f>Assumptions!B23</f>
        <v>1.23</v>
      </c>
      <c r="K8" s="7"/>
      <c r="L8" s="7"/>
      <c r="M8" s="7"/>
      <c r="N8" s="7"/>
      <c r="O8" s="7"/>
      <c r="P8" s="7"/>
      <c r="Q8" s="7"/>
      <c r="R8" s="7"/>
      <c r="S8" s="7"/>
      <c r="T8" s="7">
        <f>T4*Assumptions!$B$13</f>
        <v>0</v>
      </c>
      <c r="U8" s="7" t="e">
        <f>U4*Assumptions!$B$13</f>
        <v>#REF!</v>
      </c>
      <c r="V8" s="7" t="e">
        <f>V4*Assumptions!$B$13</f>
        <v>#REF!</v>
      </c>
      <c r="W8" s="7" t="e">
        <f>W4*Assumptions!$B$13</f>
        <v>#REF!</v>
      </c>
      <c r="X8" s="7" t="e">
        <f>X4*Assumptions!$B$13</f>
        <v>#REF!</v>
      </c>
      <c r="Y8" s="7" t="e">
        <f>Y4*Assumptions!$B$13</f>
        <v>#REF!</v>
      </c>
      <c r="Z8" s="7" t="e">
        <f>Z4*Assumptions!$B$13</f>
        <v>#REF!</v>
      </c>
      <c r="AA8" s="7" t="e">
        <f>AA4*Assumptions!$B$13</f>
        <v>#REF!</v>
      </c>
      <c r="AB8" s="7" t="e">
        <f>AB4*Assumptions!$B$13</f>
        <v>#REF!</v>
      </c>
      <c r="AC8" s="7" t="e">
        <f>AC4*Assumptions!$B$13</f>
        <v>#REF!</v>
      </c>
      <c r="AD8" s="7" t="e">
        <f>AD4*Assumptions!$B$13</f>
        <v>#REF!</v>
      </c>
      <c r="AE8" s="7" t="e">
        <f>AE4*Assumptions!$B$13</f>
        <v>#REF!</v>
      </c>
      <c r="AF8" s="7" t="e">
        <f>AF4*Assumptions!$B$13</f>
        <v>#REF!</v>
      </c>
      <c r="AG8" s="7" t="e">
        <f>AG4*Assumptions!$B$13</f>
        <v>#REF!</v>
      </c>
      <c r="AH8" s="7" t="e">
        <f>AH4*Assumptions!$B$13</f>
        <v>#REF!</v>
      </c>
      <c r="AI8" s="7" t="e">
        <f>AI4*Assumptions!$B$13</f>
        <v>#REF!</v>
      </c>
      <c r="AJ8" s="7" t="e">
        <f>AJ4*Assumptions!$B$13</f>
        <v>#REF!</v>
      </c>
      <c r="AK8" s="7" t="e">
        <f>AK4*Assumptions!$B$13</f>
        <v>#REF!</v>
      </c>
      <c r="AL8" s="7" t="e">
        <f>AL4*Assumptions!$B$13</f>
        <v>#REF!</v>
      </c>
      <c r="AM8" s="7" t="e">
        <f>AM4*Assumptions!$B$13</f>
        <v>#REF!</v>
      </c>
      <c r="AN8" s="7" t="e">
        <f>AN4*Assumptions!$B$13</f>
        <v>#REF!</v>
      </c>
    </row>
    <row r="9" spans="1:42" ht="28.8" x14ac:dyDescent="0.3">
      <c r="A9" s="11" t="s">
        <v>112</v>
      </c>
      <c r="B9" s="11"/>
      <c r="C9" s="11" t="s">
        <v>132</v>
      </c>
      <c r="D9" s="11"/>
      <c r="E9" s="7">
        <v>4420</v>
      </c>
      <c r="F9" s="7">
        <f>(F7*F8)</f>
        <v>5569.2</v>
      </c>
      <c r="G9" s="7">
        <f>(G7*G8)</f>
        <v>6958.75</v>
      </c>
      <c r="H9" s="7">
        <f>(H7*H8)</f>
        <v>8494.1438400000006</v>
      </c>
      <c r="I9" s="7">
        <f>(I7*I8)</f>
        <v>10362.8554848</v>
      </c>
      <c r="J9" s="7">
        <f>(J7*J8)</f>
        <v>12331.798026912</v>
      </c>
      <c r="K9" s="7"/>
      <c r="L9" s="7"/>
      <c r="M9" s="7"/>
      <c r="N9" s="7"/>
      <c r="O9" s="7"/>
      <c r="P9" s="7"/>
      <c r="Q9" s="7"/>
      <c r="R9" s="7"/>
      <c r="S9" s="7"/>
      <c r="T9" s="7">
        <f>S11*Assumptions!$B$22</f>
        <v>0</v>
      </c>
      <c r="U9" s="7">
        <f>T11*Assumptions!$B$22</f>
        <v>0</v>
      </c>
      <c r="V9" s="7" t="e">
        <f>U11*Assumptions!$B$22</f>
        <v>#REF!</v>
      </c>
      <c r="W9" s="7" t="e">
        <f>V11*Assumptions!$B$22</f>
        <v>#REF!</v>
      </c>
      <c r="X9" s="7" t="e">
        <f>W11*Assumptions!$B$22</f>
        <v>#REF!</v>
      </c>
      <c r="Y9" s="7" t="e">
        <f>X11*Assumptions!$B$22</f>
        <v>#REF!</v>
      </c>
      <c r="Z9" s="7" t="e">
        <f>Y11*Assumptions!$B$22</f>
        <v>#REF!</v>
      </c>
      <c r="AA9" s="7" t="e">
        <f>Z11*Assumptions!$B$22</f>
        <v>#REF!</v>
      </c>
      <c r="AB9" s="7" t="e">
        <f>AA11*Assumptions!$B$22</f>
        <v>#REF!</v>
      </c>
      <c r="AC9" s="7" t="e">
        <f>AB11*Assumptions!$B$22</f>
        <v>#REF!</v>
      </c>
      <c r="AD9" s="7" t="e">
        <f>AC11*Assumptions!$B$22</f>
        <v>#REF!</v>
      </c>
      <c r="AE9" s="7" t="e">
        <f>AD11*Assumptions!$B$22</f>
        <v>#REF!</v>
      </c>
      <c r="AF9" s="7" t="e">
        <f>AE11*Assumptions!$B$22</f>
        <v>#REF!</v>
      </c>
      <c r="AG9" s="7" t="e">
        <f>AF11*Assumptions!$B$22</f>
        <v>#REF!</v>
      </c>
      <c r="AH9" s="7" t="e">
        <f>AG11*Assumptions!$B$22</f>
        <v>#REF!</v>
      </c>
      <c r="AI9" s="7" t="e">
        <f>AH11*Assumptions!$B$22</f>
        <v>#REF!</v>
      </c>
      <c r="AJ9" s="7" t="e">
        <f>AI11*Assumptions!$B$22</f>
        <v>#REF!</v>
      </c>
      <c r="AK9" s="7" t="e">
        <f>AJ11*Assumptions!$B$22</f>
        <v>#REF!</v>
      </c>
      <c r="AL9" s="7" t="e">
        <f>AK11*Assumptions!$B$22</f>
        <v>#REF!</v>
      </c>
      <c r="AM9" s="7" t="e">
        <f>AL11*Assumptions!$B$22</f>
        <v>#REF!</v>
      </c>
      <c r="AN9" s="7" t="e">
        <f>AM11*Assumptions!$B$22</f>
        <v>#REF!</v>
      </c>
    </row>
    <row r="10" spans="1:42" x14ac:dyDescent="0.3">
      <c r="A10" t="s">
        <v>114</v>
      </c>
      <c r="E10" s="7"/>
      <c r="F10" s="7"/>
      <c r="G10" s="7">
        <f>G4-G9</f>
        <v>-52.942000000000007</v>
      </c>
      <c r="H10" s="7">
        <f>H4-H9</f>
        <v>-69.0580800000007</v>
      </c>
      <c r="I10" s="7">
        <f>I4-I9</f>
        <v>-337.00343040000007</v>
      </c>
      <c r="J10" s="7">
        <f>J4-J9</f>
        <v>-701.80964380799924</v>
      </c>
      <c r="K10" s="7"/>
      <c r="L10" s="7"/>
      <c r="M10" s="7"/>
      <c r="N10" s="7"/>
      <c r="O10" s="7"/>
      <c r="P10" s="7"/>
      <c r="Q10" s="7"/>
      <c r="R10" s="7"/>
      <c r="S10" s="7"/>
      <c r="T10" s="7">
        <f>T5*Assumptions!$B$13</f>
        <v>0</v>
      </c>
      <c r="U10" s="7" t="e">
        <f>U5*Assumptions!$B$13</f>
        <v>#REF!</v>
      </c>
      <c r="V10" s="7" t="e">
        <f>V5*Assumptions!$B$13</f>
        <v>#REF!</v>
      </c>
      <c r="W10" s="7" t="e">
        <f>W5*Assumptions!$B$13</f>
        <v>#REF!</v>
      </c>
      <c r="X10" s="7" t="e">
        <f>X5*Assumptions!$B$13</f>
        <v>#REF!</v>
      </c>
      <c r="Y10" s="7" t="e">
        <f>Y5*Assumptions!$B$13</f>
        <v>#REF!</v>
      </c>
      <c r="Z10" s="7" t="e">
        <f>Z5*Assumptions!$B$13</f>
        <v>#REF!</v>
      </c>
      <c r="AA10" s="7" t="e">
        <f>AA5*Assumptions!$B$13</f>
        <v>#REF!</v>
      </c>
      <c r="AB10" s="7" t="e">
        <f>AB5*Assumptions!$B$13</f>
        <v>#REF!</v>
      </c>
      <c r="AC10" s="7" t="e">
        <f>AC5*Assumptions!$B$13</f>
        <v>#REF!</v>
      </c>
      <c r="AD10" s="7" t="e">
        <f>AD5*Assumptions!$B$13</f>
        <v>#REF!</v>
      </c>
      <c r="AE10" s="7" t="e">
        <f>AE5*Assumptions!$B$13</f>
        <v>#REF!</v>
      </c>
      <c r="AF10" s="7" t="e">
        <f>AF5*Assumptions!$B$13</f>
        <v>#REF!</v>
      </c>
      <c r="AG10" s="7" t="e">
        <f>AG5*Assumptions!$B$13</f>
        <v>#REF!</v>
      </c>
      <c r="AH10" s="7" t="e">
        <f>AH5*Assumptions!$B$13</f>
        <v>#REF!</v>
      </c>
      <c r="AI10" s="7" t="e">
        <f>AI5*Assumptions!$B$13</f>
        <v>#REF!</v>
      </c>
      <c r="AJ10" s="7" t="e">
        <f>AJ5*Assumptions!$B$13</f>
        <v>#REF!</v>
      </c>
      <c r="AK10" s="7" t="e">
        <f>AK5*Assumptions!$B$13</f>
        <v>#REF!</v>
      </c>
      <c r="AL10" s="7" t="e">
        <f>AL5*Assumptions!$B$13</f>
        <v>#REF!</v>
      </c>
      <c r="AM10" s="7" t="e">
        <f>AM5*Assumptions!$B$13</f>
        <v>#REF!</v>
      </c>
      <c r="AN10" s="7" t="e">
        <f>AN5*Assumptions!$B$13</f>
        <v>#REF!</v>
      </c>
    </row>
    <row r="11" spans="1:42" s="34" customFormat="1" ht="28.8" x14ac:dyDescent="0.3">
      <c r="A11" s="36" t="s">
        <v>113</v>
      </c>
      <c r="B11" s="36">
        <v>1939</v>
      </c>
      <c r="C11" s="36">
        <v>2667</v>
      </c>
      <c r="D11" s="36">
        <v>3462</v>
      </c>
      <c r="E11" s="37">
        <v>4420</v>
      </c>
      <c r="F11" s="37">
        <v>5567</v>
      </c>
      <c r="G11" s="37">
        <f>G9+G10</f>
        <v>6905.808</v>
      </c>
      <c r="H11" s="37">
        <f>H9+H10</f>
        <v>8425.0857599999999</v>
      </c>
      <c r="I11" s="37">
        <f>I9+I10</f>
        <v>10025.8520544</v>
      </c>
      <c r="J11" s="37">
        <f>J9+J10</f>
        <v>11629.988383104001</v>
      </c>
      <c r="K11" s="37"/>
      <c r="L11" s="37"/>
      <c r="M11" s="37"/>
      <c r="N11" s="37"/>
      <c r="O11" s="37"/>
      <c r="P11" s="37"/>
      <c r="Q11" s="37"/>
      <c r="R11" s="37"/>
      <c r="S11" s="37"/>
      <c r="T11" s="37">
        <f t="shared" ref="T11:AN11" si="3">T8+T9-T10</f>
        <v>0</v>
      </c>
      <c r="U11" s="37" t="e">
        <f t="shared" si="3"/>
        <v>#REF!</v>
      </c>
      <c r="V11" s="37" t="e">
        <f t="shared" si="3"/>
        <v>#REF!</v>
      </c>
      <c r="W11" s="37" t="e">
        <f t="shared" si="3"/>
        <v>#REF!</v>
      </c>
      <c r="X11" s="37" t="e">
        <f t="shared" si="3"/>
        <v>#REF!</v>
      </c>
      <c r="Y11" s="37" t="e">
        <f t="shared" si="3"/>
        <v>#REF!</v>
      </c>
      <c r="Z11" s="37" t="e">
        <f t="shared" si="3"/>
        <v>#REF!</v>
      </c>
      <c r="AA11" s="37" t="e">
        <f t="shared" si="3"/>
        <v>#REF!</v>
      </c>
      <c r="AB11" s="37" t="e">
        <f t="shared" si="3"/>
        <v>#REF!</v>
      </c>
      <c r="AC11" s="37" t="e">
        <f t="shared" si="3"/>
        <v>#REF!</v>
      </c>
      <c r="AD11" s="37" t="e">
        <f t="shared" si="3"/>
        <v>#REF!</v>
      </c>
      <c r="AE11" s="37" t="e">
        <f t="shared" si="3"/>
        <v>#REF!</v>
      </c>
      <c r="AF11" s="37" t="e">
        <f t="shared" si="3"/>
        <v>#REF!</v>
      </c>
      <c r="AG11" s="37" t="e">
        <f t="shared" si="3"/>
        <v>#REF!</v>
      </c>
      <c r="AH11" s="37" t="e">
        <f t="shared" si="3"/>
        <v>#REF!</v>
      </c>
      <c r="AI11" s="37" t="e">
        <f t="shared" si="3"/>
        <v>#REF!</v>
      </c>
      <c r="AJ11" s="37" t="e">
        <f t="shared" si="3"/>
        <v>#REF!</v>
      </c>
      <c r="AK11" s="37" t="e">
        <f t="shared" si="3"/>
        <v>#REF!</v>
      </c>
      <c r="AL11" s="37" t="e">
        <f t="shared" si="3"/>
        <v>#REF!</v>
      </c>
      <c r="AM11" s="37" t="e">
        <f t="shared" si="3"/>
        <v>#REF!</v>
      </c>
      <c r="AN11" s="37" t="e">
        <f t="shared" si="3"/>
        <v>#REF!</v>
      </c>
    </row>
    <row r="12" spans="1:42" x14ac:dyDescent="0.3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f t="shared" ref="T12:AN12" si="4">S12+T11</f>
        <v>0</v>
      </c>
      <c r="U12" s="7" t="e">
        <f t="shared" si="4"/>
        <v>#REF!</v>
      </c>
      <c r="V12" s="7" t="e">
        <f t="shared" si="4"/>
        <v>#REF!</v>
      </c>
      <c r="W12" s="7" t="e">
        <f t="shared" si="4"/>
        <v>#REF!</v>
      </c>
      <c r="X12" s="7" t="e">
        <f t="shared" si="4"/>
        <v>#REF!</v>
      </c>
      <c r="Y12" s="7" t="e">
        <f t="shared" si="4"/>
        <v>#REF!</v>
      </c>
      <c r="Z12" s="7" t="e">
        <f t="shared" si="4"/>
        <v>#REF!</v>
      </c>
      <c r="AA12" s="7" t="e">
        <f t="shared" si="4"/>
        <v>#REF!</v>
      </c>
      <c r="AB12" s="7" t="e">
        <f t="shared" si="4"/>
        <v>#REF!</v>
      </c>
      <c r="AC12" s="7" t="e">
        <f t="shared" si="4"/>
        <v>#REF!</v>
      </c>
      <c r="AD12" s="7" t="e">
        <f t="shared" si="4"/>
        <v>#REF!</v>
      </c>
      <c r="AE12" s="7" t="e">
        <f t="shared" si="4"/>
        <v>#REF!</v>
      </c>
      <c r="AF12" s="7" t="e">
        <f t="shared" si="4"/>
        <v>#REF!</v>
      </c>
      <c r="AG12" s="7" t="e">
        <f t="shared" si="4"/>
        <v>#REF!</v>
      </c>
      <c r="AH12" s="7" t="e">
        <f t="shared" si="4"/>
        <v>#REF!</v>
      </c>
      <c r="AI12" s="7" t="e">
        <f t="shared" si="4"/>
        <v>#REF!</v>
      </c>
      <c r="AJ12" s="7" t="e">
        <f t="shared" si="4"/>
        <v>#REF!</v>
      </c>
      <c r="AK12" s="7" t="e">
        <f t="shared" si="4"/>
        <v>#REF!</v>
      </c>
      <c r="AL12" s="7" t="e">
        <f t="shared" si="4"/>
        <v>#REF!</v>
      </c>
      <c r="AM12" s="7" t="e">
        <f t="shared" si="4"/>
        <v>#REF!</v>
      </c>
      <c r="AN12" s="7" t="e">
        <f t="shared" si="4"/>
        <v>#REF!</v>
      </c>
    </row>
    <row r="14" spans="1:42" x14ac:dyDescent="0.3">
      <c r="A14" s="5"/>
      <c r="B14" s="5"/>
      <c r="C14" s="5"/>
      <c r="D14" s="5"/>
    </row>
    <row r="15" spans="1:42" x14ac:dyDescent="0.3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f t="shared" ref="T15:AN15" si="5">T12</f>
        <v>0</v>
      </c>
      <c r="U15" s="7" t="e">
        <f t="shared" si="5"/>
        <v>#REF!</v>
      </c>
      <c r="V15" s="7" t="e">
        <f t="shared" si="5"/>
        <v>#REF!</v>
      </c>
      <c r="W15" s="7" t="e">
        <f t="shared" si="5"/>
        <v>#REF!</v>
      </c>
      <c r="X15" s="7" t="e">
        <f t="shared" si="5"/>
        <v>#REF!</v>
      </c>
      <c r="Y15" s="7" t="e">
        <f t="shared" si="5"/>
        <v>#REF!</v>
      </c>
      <c r="Z15" s="7" t="e">
        <f t="shared" si="5"/>
        <v>#REF!</v>
      </c>
      <c r="AA15" s="7" t="e">
        <f t="shared" si="5"/>
        <v>#REF!</v>
      </c>
      <c r="AB15" s="7" t="e">
        <f t="shared" si="5"/>
        <v>#REF!</v>
      </c>
      <c r="AC15" s="7" t="e">
        <f t="shared" si="5"/>
        <v>#REF!</v>
      </c>
      <c r="AD15" s="7" t="e">
        <f t="shared" si="5"/>
        <v>#REF!</v>
      </c>
      <c r="AE15" s="7" t="e">
        <f t="shared" si="5"/>
        <v>#REF!</v>
      </c>
      <c r="AF15" s="7" t="e">
        <f t="shared" si="5"/>
        <v>#REF!</v>
      </c>
      <c r="AG15" s="7" t="e">
        <f t="shared" si="5"/>
        <v>#REF!</v>
      </c>
      <c r="AH15" s="7" t="e">
        <f t="shared" si="5"/>
        <v>#REF!</v>
      </c>
      <c r="AI15" s="7" t="e">
        <f t="shared" si="5"/>
        <v>#REF!</v>
      </c>
      <c r="AJ15" s="7" t="e">
        <f t="shared" si="5"/>
        <v>#REF!</v>
      </c>
      <c r="AK15" s="7" t="e">
        <f t="shared" si="5"/>
        <v>#REF!</v>
      </c>
      <c r="AL15" s="7" t="e">
        <f t="shared" si="5"/>
        <v>#REF!</v>
      </c>
      <c r="AM15" s="7" t="e">
        <f t="shared" si="5"/>
        <v>#REF!</v>
      </c>
      <c r="AN15" s="7" t="e">
        <f t="shared" si="5"/>
        <v>#REF!</v>
      </c>
    </row>
    <row r="16" spans="1:42" x14ac:dyDescent="0.3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>
        <f t="shared" ref="T16:AN16" si="6">S16+T15</f>
        <v>0</v>
      </c>
      <c r="U16" s="7" t="e">
        <f t="shared" si="6"/>
        <v>#REF!</v>
      </c>
      <c r="V16" s="7" t="e">
        <f t="shared" si="6"/>
        <v>#REF!</v>
      </c>
      <c r="W16" s="7" t="e">
        <f t="shared" si="6"/>
        <v>#REF!</v>
      </c>
      <c r="X16" s="7" t="e">
        <f t="shared" si="6"/>
        <v>#REF!</v>
      </c>
      <c r="Y16" s="7" t="e">
        <f t="shared" si="6"/>
        <v>#REF!</v>
      </c>
      <c r="Z16" s="7" t="e">
        <f t="shared" si="6"/>
        <v>#REF!</v>
      </c>
      <c r="AA16" s="7" t="e">
        <f t="shared" si="6"/>
        <v>#REF!</v>
      </c>
      <c r="AB16" s="7" t="e">
        <f t="shared" si="6"/>
        <v>#REF!</v>
      </c>
      <c r="AC16" s="7" t="e">
        <f t="shared" si="6"/>
        <v>#REF!</v>
      </c>
      <c r="AD16" s="7" t="e">
        <f t="shared" si="6"/>
        <v>#REF!</v>
      </c>
      <c r="AE16" s="7" t="e">
        <f t="shared" si="6"/>
        <v>#REF!</v>
      </c>
      <c r="AF16" s="7" t="e">
        <f t="shared" si="6"/>
        <v>#REF!</v>
      </c>
      <c r="AG16" s="7" t="e">
        <f t="shared" si="6"/>
        <v>#REF!</v>
      </c>
      <c r="AH16" s="7" t="e">
        <f t="shared" si="6"/>
        <v>#REF!</v>
      </c>
      <c r="AI16" s="7" t="e">
        <f t="shared" si="6"/>
        <v>#REF!</v>
      </c>
      <c r="AJ16" s="7" t="e">
        <f t="shared" si="6"/>
        <v>#REF!</v>
      </c>
      <c r="AK16" s="7" t="e">
        <f t="shared" si="6"/>
        <v>#REF!</v>
      </c>
      <c r="AL16" s="7" t="e">
        <f t="shared" si="6"/>
        <v>#REF!</v>
      </c>
      <c r="AM16" s="7" t="e">
        <f t="shared" si="6"/>
        <v>#REF!</v>
      </c>
      <c r="AN16" s="7" t="e">
        <f t="shared" si="6"/>
        <v>#REF!</v>
      </c>
    </row>
    <row r="17" spans="5:40" x14ac:dyDescent="0.3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f t="shared" ref="T17:AN17" si="7">T12*12</f>
        <v>0</v>
      </c>
      <c r="U17" s="7" t="e">
        <f t="shared" si="7"/>
        <v>#REF!</v>
      </c>
      <c r="V17" s="7" t="e">
        <f t="shared" si="7"/>
        <v>#REF!</v>
      </c>
      <c r="W17" s="7" t="e">
        <f t="shared" si="7"/>
        <v>#REF!</v>
      </c>
      <c r="X17" s="7" t="e">
        <f t="shared" si="7"/>
        <v>#REF!</v>
      </c>
      <c r="Y17" s="7" t="e">
        <f t="shared" si="7"/>
        <v>#REF!</v>
      </c>
      <c r="Z17" s="7" t="e">
        <f t="shared" si="7"/>
        <v>#REF!</v>
      </c>
      <c r="AA17" s="7" t="e">
        <f t="shared" si="7"/>
        <v>#REF!</v>
      </c>
      <c r="AB17" s="7" t="e">
        <f t="shared" si="7"/>
        <v>#REF!</v>
      </c>
      <c r="AC17" s="7" t="e">
        <f t="shared" si="7"/>
        <v>#REF!</v>
      </c>
      <c r="AD17" s="7" t="e">
        <f t="shared" si="7"/>
        <v>#REF!</v>
      </c>
      <c r="AE17" s="7" t="e">
        <f t="shared" si="7"/>
        <v>#REF!</v>
      </c>
      <c r="AF17" s="7" t="e">
        <f t="shared" si="7"/>
        <v>#REF!</v>
      </c>
      <c r="AG17" s="7" t="e">
        <f t="shared" si="7"/>
        <v>#REF!</v>
      </c>
      <c r="AH17" s="7" t="e">
        <f t="shared" si="7"/>
        <v>#REF!</v>
      </c>
      <c r="AI17" s="7" t="e">
        <f t="shared" si="7"/>
        <v>#REF!</v>
      </c>
      <c r="AJ17" s="7" t="e">
        <f t="shared" si="7"/>
        <v>#REF!</v>
      </c>
      <c r="AK17" s="7" t="e">
        <f t="shared" si="7"/>
        <v>#REF!</v>
      </c>
      <c r="AL17" s="7" t="e">
        <f t="shared" si="7"/>
        <v>#REF!</v>
      </c>
      <c r="AM17" s="7" t="e">
        <f t="shared" si="7"/>
        <v>#REF!</v>
      </c>
      <c r="AN17" s="7" t="e">
        <f t="shared" si="7"/>
        <v>#REF!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S28"/>
  <sheetViews>
    <sheetView topLeftCell="A4" workbookViewId="0">
      <selection activeCell="B22" sqref="B22"/>
    </sheetView>
  </sheetViews>
  <sheetFormatPr defaultRowHeight="14.4" x14ac:dyDescent="0.3"/>
  <cols>
    <col min="1" max="1" width="25" customWidth="1"/>
    <col min="2" max="2" width="17" customWidth="1"/>
    <col min="3" max="3" width="15.21875" customWidth="1"/>
    <col min="4" max="4" width="15.5546875" customWidth="1"/>
    <col min="5" max="40" width="12" customWidth="1"/>
  </cols>
  <sheetData>
    <row r="1" spans="1:19" ht="24" customHeight="1" x14ac:dyDescent="0.3">
      <c r="A1" s="71" t="s">
        <v>115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9" x14ac:dyDescent="0.3">
      <c r="A2" s="35" t="s">
        <v>116</v>
      </c>
      <c r="B2" s="68" t="str">
        <f>'Revenue Model'!B2</f>
        <v>FY 2023</v>
      </c>
      <c r="C2" s="68" t="str">
        <f>'Revenue Model'!C2</f>
        <v>FY 2024</v>
      </c>
      <c r="D2" s="68" t="str">
        <f>'Revenue Model'!D2</f>
        <v>FY 2025</v>
      </c>
      <c r="E2" s="67" t="str">
        <f>'Revenue Model'!E2</f>
        <v>FY 2026 (E)</v>
      </c>
      <c r="F2" s="67" t="str">
        <f>'Revenue Model'!F2</f>
        <v>FY 2027 E</v>
      </c>
      <c r="G2" s="67" t="str">
        <f>'Revenue Model'!G2</f>
        <v>FY 2028 E</v>
      </c>
      <c r="H2" s="67" t="str">
        <f>'Revenue Model'!H2</f>
        <v>FY 2029 E</v>
      </c>
      <c r="I2" s="67" t="str">
        <f>'Revenue Model'!I2</f>
        <v>FY 2030 E</v>
      </c>
      <c r="J2" s="67" t="str">
        <f>'Revenue Model'!J2</f>
        <v>FY 2031 E</v>
      </c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t="s">
        <v>107</v>
      </c>
      <c r="B3">
        <f>'Revenue Model'!B4</f>
        <v>1939</v>
      </c>
      <c r="C3">
        <f>'Revenue Model'!C4</f>
        <v>2667</v>
      </c>
      <c r="D3">
        <f>'Revenue Model'!D4</f>
        <v>3462</v>
      </c>
      <c r="E3" s="6">
        <f>'Revenue Model'!E4</f>
        <v>4420</v>
      </c>
      <c r="F3" s="6">
        <f>'Revenue Model'!F4</f>
        <v>5569.2</v>
      </c>
      <c r="G3" s="6">
        <f>'Revenue Model'!G4</f>
        <v>6905.808</v>
      </c>
      <c r="H3" s="6">
        <f>'Revenue Model'!H4</f>
        <v>8425.0857599999999</v>
      </c>
      <c r="I3" s="6">
        <f>'Revenue Model'!I4</f>
        <v>10025.8520544</v>
      </c>
      <c r="J3" s="6">
        <f>'Revenue Model'!J4</f>
        <v>11629.988383104001</v>
      </c>
    </row>
    <row r="4" spans="1:19" ht="28.8" x14ac:dyDescent="0.3">
      <c r="A4" s="40" t="s">
        <v>117</v>
      </c>
      <c r="B4" s="40">
        <v>128</v>
      </c>
      <c r="C4" s="40">
        <v>139</v>
      </c>
      <c r="D4" s="40">
        <v>164</v>
      </c>
      <c r="E4" s="7">
        <f t="shared" ref="E4:J4" si="0">(E3*5%)</f>
        <v>221</v>
      </c>
      <c r="F4" s="7">
        <f t="shared" si="0"/>
        <v>278.45999999999998</v>
      </c>
      <c r="G4" s="7">
        <f t="shared" si="0"/>
        <v>345.29040000000003</v>
      </c>
      <c r="H4" s="7">
        <f t="shared" si="0"/>
        <v>421.25428800000003</v>
      </c>
      <c r="I4" s="7">
        <f t="shared" si="0"/>
        <v>501.29260272000005</v>
      </c>
      <c r="J4" s="7">
        <f t="shared" si="0"/>
        <v>581.49941915520003</v>
      </c>
      <c r="K4" s="7"/>
      <c r="L4" s="7"/>
      <c r="M4" s="7"/>
      <c r="N4" s="7"/>
      <c r="O4" s="7"/>
      <c r="P4" s="7"/>
      <c r="Q4" s="7"/>
      <c r="R4" s="7"/>
      <c r="S4" s="7"/>
    </row>
    <row r="5" spans="1:19" s="34" customFormat="1" x14ac:dyDescent="0.3">
      <c r="A5" s="37" t="s">
        <v>118</v>
      </c>
      <c r="B5" s="37">
        <v>2066</v>
      </c>
      <c r="C5" s="37">
        <v>2806</v>
      </c>
      <c r="D5" s="37">
        <v>3626</v>
      </c>
      <c r="E5" s="37">
        <f t="shared" ref="E5:J5" si="1">E3+E4</f>
        <v>4641</v>
      </c>
      <c r="F5" s="37">
        <f t="shared" si="1"/>
        <v>5847.66</v>
      </c>
      <c r="G5" s="37">
        <f t="shared" si="1"/>
        <v>7251.0983999999999</v>
      </c>
      <c r="H5" s="37">
        <f t="shared" si="1"/>
        <v>8846.340048</v>
      </c>
      <c r="I5" s="37">
        <f t="shared" si="1"/>
        <v>10527.144657119999</v>
      </c>
      <c r="J5" s="37">
        <f t="shared" si="1"/>
        <v>12211.4878022592</v>
      </c>
      <c r="K5" s="37"/>
      <c r="L5" s="37"/>
      <c r="M5" s="37"/>
      <c r="N5" s="37"/>
      <c r="O5" s="37"/>
      <c r="P5" s="37"/>
      <c r="Q5" s="37"/>
      <c r="R5" s="37"/>
      <c r="S5" s="37"/>
    </row>
    <row r="6" spans="1:19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3">
      <c r="A7" s="7" t="s">
        <v>119</v>
      </c>
      <c r="B7" s="7">
        <v>548</v>
      </c>
      <c r="C7" s="7">
        <v>701</v>
      </c>
      <c r="D7" s="7">
        <v>992</v>
      </c>
      <c r="E7">
        <v>-1061</v>
      </c>
      <c r="F7" s="42">
        <f>'Profit and loss statement'!F5*(1-Assumptions!$B$27)</f>
        <v>1286.4851999999998</v>
      </c>
      <c r="G7" s="42">
        <f>'Profit and loss statement'!G5*(1-Assumptions!$B$27)</f>
        <v>1595.2416479999997</v>
      </c>
      <c r="H7" s="42">
        <f>'Profit and loss statement'!H5*(1-Assumptions!$B$27)</f>
        <v>1946.1948105599997</v>
      </c>
      <c r="I7" s="42">
        <f>'Profit and loss statement'!I5*(1-Assumptions!$B$27)</f>
        <v>2315.9718245663994</v>
      </c>
      <c r="J7" s="42">
        <f>'Profit and loss statement'!J5*(1-Assumptions!$B$27)</f>
        <v>2686.5273164970235</v>
      </c>
    </row>
    <row r="8" spans="1:19" x14ac:dyDescent="0.3">
      <c r="A8" s="7" t="s">
        <v>120</v>
      </c>
      <c r="B8" s="7">
        <v>170</v>
      </c>
      <c r="C8" s="7">
        <v>197</v>
      </c>
      <c r="D8" s="7">
        <v>223</v>
      </c>
      <c r="E8">
        <v>-180</v>
      </c>
      <c r="F8" s="42">
        <f>F3*3%</f>
        <v>167.07599999999999</v>
      </c>
      <c r="G8" s="42">
        <f>G3*2.5%</f>
        <v>172.64520000000002</v>
      </c>
      <c r="H8" s="42">
        <f>H3*3%</f>
        <v>252.7525728</v>
      </c>
      <c r="I8" s="42">
        <f>I3*2%</f>
        <v>200.51704108800001</v>
      </c>
      <c r="J8" s="42">
        <f>J3*2%</f>
        <v>232.59976766208001</v>
      </c>
    </row>
    <row r="9" spans="1:19" x14ac:dyDescent="0.3">
      <c r="A9" s="7" t="s">
        <v>121</v>
      </c>
      <c r="B9" s="7">
        <f>B7+B8</f>
        <v>718</v>
      </c>
      <c r="C9" s="7">
        <f>C7+C8</f>
        <v>898</v>
      </c>
      <c r="D9" s="7">
        <f>D7+D8</f>
        <v>1215</v>
      </c>
      <c r="E9" s="7">
        <v>-1241</v>
      </c>
      <c r="F9" s="7">
        <f>F7+F8</f>
        <v>1453.5611999999999</v>
      </c>
      <c r="G9" s="7">
        <f>G7+G8</f>
        <v>1767.8868479999996</v>
      </c>
      <c r="H9" s="7">
        <f>H7+H8</f>
        <v>2198.9473833599995</v>
      </c>
      <c r="I9" s="7">
        <f>I7+I8</f>
        <v>2516.4888656543994</v>
      </c>
      <c r="J9" s="7">
        <f>J7+J8</f>
        <v>2919.1270841591036</v>
      </c>
      <c r="K9" s="7"/>
      <c r="L9" s="7"/>
      <c r="M9" s="7"/>
      <c r="N9" s="7"/>
      <c r="O9" s="7"/>
      <c r="P9" s="7"/>
      <c r="Q9" s="7"/>
      <c r="R9" s="7"/>
      <c r="S9" s="7"/>
    </row>
    <row r="10" spans="1:19" x14ac:dyDescent="0.3">
      <c r="A10" s="7" t="s">
        <v>29</v>
      </c>
      <c r="B10" s="7">
        <f>B5-B7-B8</f>
        <v>1348</v>
      </c>
      <c r="C10" s="7">
        <f>C5-C7-C8</f>
        <v>1908</v>
      </c>
      <c r="D10" s="7">
        <f>D5-D7-D8</f>
        <v>2411</v>
      </c>
      <c r="E10" s="7">
        <f>E5+E9</f>
        <v>3400</v>
      </c>
      <c r="F10" s="7">
        <f>F5-F9</f>
        <v>4394.0987999999998</v>
      </c>
      <c r="G10" s="7">
        <f>G5-G9</f>
        <v>5483.2115520000007</v>
      </c>
      <c r="H10" s="7">
        <f>H5-H9</f>
        <v>6647.3926646400005</v>
      </c>
      <c r="I10" s="7">
        <f>I5-I9</f>
        <v>8010.6557914656005</v>
      </c>
      <c r="J10" s="7">
        <f>J5-J9</f>
        <v>9292.3607181000971</v>
      </c>
      <c r="K10" s="7"/>
      <c r="L10" s="7"/>
      <c r="M10" s="7"/>
      <c r="N10" s="7"/>
      <c r="O10" s="7"/>
      <c r="P10" s="7"/>
      <c r="Q10" s="7"/>
      <c r="R10" s="7"/>
      <c r="S10" s="7"/>
    </row>
    <row r="11" spans="1:19" s="34" customFormat="1" x14ac:dyDescent="0.3">
      <c r="A11" s="37" t="s">
        <v>122</v>
      </c>
      <c r="B11" s="44">
        <f t="shared" ref="B11:J11" si="2">B10/B5</f>
        <v>0.65246853823814133</v>
      </c>
      <c r="C11" s="44">
        <f t="shared" si="2"/>
        <v>0.67997148966500354</v>
      </c>
      <c r="D11" s="44">
        <f t="shared" si="2"/>
        <v>0.66492002206287926</v>
      </c>
      <c r="E11" s="44">
        <f t="shared" si="2"/>
        <v>0.73260073260073255</v>
      </c>
      <c r="F11" s="44">
        <f t="shared" si="2"/>
        <v>0.75142857142857145</v>
      </c>
      <c r="G11" s="44">
        <f t="shared" si="2"/>
        <v>0.7561904761904763</v>
      </c>
      <c r="H11" s="44">
        <f t="shared" si="2"/>
        <v>0.75142857142857145</v>
      </c>
      <c r="I11" s="44">
        <f t="shared" si="2"/>
        <v>0.76095238095238105</v>
      </c>
      <c r="J11" s="44">
        <f t="shared" si="2"/>
        <v>0.76095238095238105</v>
      </c>
      <c r="K11" s="37"/>
      <c r="L11" s="37"/>
      <c r="M11" s="37"/>
      <c r="N11" s="37"/>
      <c r="O11" s="37"/>
      <c r="P11" s="37"/>
      <c r="Q11" s="37"/>
      <c r="R11" s="37"/>
      <c r="S11" s="37"/>
    </row>
    <row r="12" spans="1:19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3">
      <c r="A13" s="7" t="s">
        <v>123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3">
      <c r="A14" s="7" t="s">
        <v>124</v>
      </c>
      <c r="B14" s="7">
        <v>788</v>
      </c>
      <c r="C14" s="7">
        <v>1281</v>
      </c>
      <c r="D14" s="7">
        <v>1772</v>
      </c>
      <c r="E14" s="42">
        <f t="shared" ref="E14:J14" si="3">E5*E15</f>
        <v>1624.35</v>
      </c>
      <c r="F14" s="42">
        <f t="shared" si="3"/>
        <v>1929.7278000000001</v>
      </c>
      <c r="G14" s="42">
        <f t="shared" si="3"/>
        <v>2102.8185359999998</v>
      </c>
      <c r="H14" s="42">
        <f t="shared" si="3"/>
        <v>2388.51181296</v>
      </c>
      <c r="I14" s="42">
        <f t="shared" si="3"/>
        <v>2631.7861642799999</v>
      </c>
      <c r="J14" s="42">
        <f t="shared" si="3"/>
        <v>2991.814511553504</v>
      </c>
    </row>
    <row r="15" spans="1:19" x14ac:dyDescent="0.3">
      <c r="A15" s="7" t="s">
        <v>125</v>
      </c>
      <c r="B15" s="10">
        <f>B14/B5</f>
        <v>0.38141335914811231</v>
      </c>
      <c r="C15" s="10">
        <f>C14/C5</f>
        <v>0.45652173913043476</v>
      </c>
      <c r="D15" s="10">
        <f>D14/D5</f>
        <v>0.4886927744070601</v>
      </c>
      <c r="E15" s="48">
        <v>0.35</v>
      </c>
      <c r="F15" s="48">
        <v>0.33</v>
      </c>
      <c r="G15" s="48">
        <v>0.28999999999999998</v>
      </c>
      <c r="H15" s="48">
        <v>0.27</v>
      </c>
      <c r="I15" s="49">
        <v>0.25</v>
      </c>
      <c r="J15" s="49">
        <v>0.245</v>
      </c>
    </row>
    <row r="16" spans="1:19" x14ac:dyDescent="0.3">
      <c r="A16" s="7" t="s">
        <v>126</v>
      </c>
      <c r="B16" s="7">
        <v>1112</v>
      </c>
      <c r="C16" s="7">
        <v>1352</v>
      </c>
      <c r="D16" s="7">
        <v>1639</v>
      </c>
      <c r="E16" s="7">
        <f t="shared" ref="E16:J16" si="4">E5*E17</f>
        <v>1995.6299999999999</v>
      </c>
      <c r="F16" s="7">
        <f t="shared" si="4"/>
        <v>2456.0171999999998</v>
      </c>
      <c r="G16" s="7">
        <f t="shared" si="4"/>
        <v>2900.4393600000003</v>
      </c>
      <c r="H16" s="7">
        <f t="shared" si="4"/>
        <v>3450.0726187200003</v>
      </c>
      <c r="I16" s="7">
        <f t="shared" si="4"/>
        <v>3895.0435231343999</v>
      </c>
      <c r="J16" s="7">
        <f t="shared" si="4"/>
        <v>4274.0207307907194</v>
      </c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3">
      <c r="A17" s="7" t="s">
        <v>125</v>
      </c>
      <c r="B17" s="10">
        <f>B16/B5</f>
        <v>0.53823814133591485</v>
      </c>
      <c r="C17" s="10">
        <f>C16/C5</f>
        <v>0.48182466143977193</v>
      </c>
      <c r="D17" s="10">
        <f>D16/D5</f>
        <v>0.45201323772752344</v>
      </c>
      <c r="E17" s="48">
        <v>0.43</v>
      </c>
      <c r="F17" s="48">
        <v>0.42</v>
      </c>
      <c r="G17" s="48">
        <v>0.4</v>
      </c>
      <c r="H17" s="48">
        <v>0.39</v>
      </c>
      <c r="I17" s="48">
        <v>0.37</v>
      </c>
      <c r="J17" s="48">
        <v>0.35</v>
      </c>
      <c r="L17" t="s">
        <v>143</v>
      </c>
    </row>
    <row r="18" spans="1:19" x14ac:dyDescent="0.3">
      <c r="A18" s="7" t="s">
        <v>27</v>
      </c>
      <c r="B18" s="7">
        <v>285</v>
      </c>
      <c r="C18" s="7">
        <v>363</v>
      </c>
      <c r="D18" s="7">
        <v>445</v>
      </c>
      <c r="E18" s="42">
        <f t="shared" ref="E18:J18" si="5">E5*E19</f>
        <v>510.51</v>
      </c>
      <c r="F18" s="42">
        <f t="shared" si="5"/>
        <v>584.76599999999996</v>
      </c>
      <c r="G18" s="42">
        <f t="shared" si="5"/>
        <v>725.10984000000008</v>
      </c>
      <c r="H18" s="42">
        <f t="shared" si="5"/>
        <v>840.40230456000006</v>
      </c>
      <c r="I18" s="42">
        <f t="shared" si="5"/>
        <v>947.44301914079995</v>
      </c>
      <c r="J18" s="42">
        <f t="shared" si="5"/>
        <v>1099.0339022033279</v>
      </c>
    </row>
    <row r="19" spans="1:19" x14ac:dyDescent="0.3">
      <c r="A19" s="7" t="s">
        <v>125</v>
      </c>
      <c r="B19" s="10">
        <f>B18/B5</f>
        <v>0.13794772507260405</v>
      </c>
      <c r="C19" s="10">
        <f>C18/C5</f>
        <v>0.1293656450463293</v>
      </c>
      <c r="D19" s="10">
        <f>D18/D5</f>
        <v>0.12272476558190844</v>
      </c>
      <c r="E19" s="49">
        <v>0.11</v>
      </c>
      <c r="F19" s="49">
        <v>0.1</v>
      </c>
      <c r="G19" s="49">
        <v>0.1</v>
      </c>
      <c r="H19" s="49">
        <v>9.5000000000000001E-2</v>
      </c>
      <c r="I19" s="49">
        <v>0.09</v>
      </c>
      <c r="J19" s="49">
        <v>0.09</v>
      </c>
      <c r="K19" s="7"/>
      <c r="L19" s="7"/>
      <c r="M19" s="7"/>
      <c r="N19" s="7"/>
      <c r="O19" s="7"/>
      <c r="P19" s="7"/>
      <c r="Q19" s="7"/>
      <c r="R19" s="7"/>
      <c r="S19" s="7"/>
    </row>
    <row r="20" spans="1:19" s="34" customFormat="1" x14ac:dyDescent="0.3">
      <c r="A20" s="45" t="s">
        <v>28</v>
      </c>
      <c r="B20" s="46">
        <f t="shared" ref="B20:J20" si="6">B14+B16+B18</f>
        <v>2185</v>
      </c>
      <c r="C20" s="46">
        <f t="shared" si="6"/>
        <v>2996</v>
      </c>
      <c r="D20" s="46">
        <f t="shared" si="6"/>
        <v>3856</v>
      </c>
      <c r="E20" s="47">
        <f t="shared" si="6"/>
        <v>4130.49</v>
      </c>
      <c r="F20" s="47">
        <f t="shared" si="6"/>
        <v>4970.5109999999995</v>
      </c>
      <c r="G20" s="47">
        <f t="shared" si="6"/>
        <v>5728.3677360000001</v>
      </c>
      <c r="H20" s="47">
        <f t="shared" si="6"/>
        <v>6678.98673624</v>
      </c>
      <c r="I20" s="47">
        <f t="shared" si="6"/>
        <v>7474.2727065551999</v>
      </c>
      <c r="J20" s="47">
        <f t="shared" si="6"/>
        <v>8364.8691445475506</v>
      </c>
      <c r="K20" s="45"/>
      <c r="L20" s="45"/>
      <c r="M20" s="45"/>
      <c r="N20" s="45"/>
      <c r="O20" s="45"/>
      <c r="P20" s="45"/>
      <c r="Q20" s="45"/>
      <c r="R20" s="45"/>
      <c r="S20" s="45"/>
    </row>
    <row r="21" spans="1:19" x14ac:dyDescent="0.3">
      <c r="A21" s="7" t="s">
        <v>135</v>
      </c>
      <c r="B21">
        <v>-842</v>
      </c>
      <c r="C21">
        <v>-1095</v>
      </c>
      <c r="D21">
        <v>-1456</v>
      </c>
      <c r="E21" s="7">
        <f t="shared" ref="E21:J21" si="7">E10-E20</f>
        <v>-730.48999999999978</v>
      </c>
      <c r="F21" s="7">
        <f t="shared" si="7"/>
        <v>-576.41219999999976</v>
      </c>
      <c r="G21" s="7">
        <f t="shared" si="7"/>
        <v>-245.15618399999948</v>
      </c>
      <c r="H21" s="7">
        <f t="shared" si="7"/>
        <v>-31.594071599999552</v>
      </c>
      <c r="I21" s="7">
        <f t="shared" si="7"/>
        <v>536.38308491040061</v>
      </c>
      <c r="J21" s="7">
        <f t="shared" si="7"/>
        <v>927.49157355254647</v>
      </c>
    </row>
    <row r="22" spans="1:19" x14ac:dyDescent="0.3">
      <c r="A22" s="7" t="s">
        <v>136</v>
      </c>
      <c r="B22">
        <v>1080</v>
      </c>
      <c r="C22">
        <v>1300</v>
      </c>
      <c r="E22" s="42">
        <f t="shared" ref="E22:J22" si="8">E5*E23</f>
        <v>1299.48</v>
      </c>
      <c r="F22" s="42">
        <f t="shared" si="8"/>
        <v>1637.3448000000001</v>
      </c>
      <c r="G22" s="42">
        <f t="shared" si="8"/>
        <v>1957.796568</v>
      </c>
      <c r="H22" s="42">
        <f t="shared" si="8"/>
        <v>2211.585012</v>
      </c>
      <c r="I22" s="42">
        <f t="shared" si="8"/>
        <v>2105.428931424</v>
      </c>
      <c r="J22" s="42">
        <f t="shared" si="8"/>
        <v>2198.0678044066558</v>
      </c>
    </row>
    <row r="23" spans="1:19" x14ac:dyDescent="0.3">
      <c r="A23" s="7" t="s">
        <v>137</v>
      </c>
      <c r="E23" s="49">
        <v>0.28000000000000003</v>
      </c>
      <c r="F23" s="49">
        <v>0.28000000000000003</v>
      </c>
      <c r="G23" s="49">
        <v>0.27</v>
      </c>
      <c r="H23" s="49">
        <v>0.25</v>
      </c>
      <c r="I23" s="49">
        <v>0.2</v>
      </c>
      <c r="J23" s="49">
        <v>0.18</v>
      </c>
    </row>
    <row r="24" spans="1:19" x14ac:dyDescent="0.3">
      <c r="A24" s="7" t="s">
        <v>138</v>
      </c>
      <c r="B24">
        <v>0</v>
      </c>
      <c r="C24">
        <v>29</v>
      </c>
      <c r="D24">
        <v>0</v>
      </c>
      <c r="E24" s="42">
        <f t="shared" ref="E24:J24" si="9">E5*E25</f>
        <v>69.614999999999995</v>
      </c>
      <c r="F24" s="42">
        <f t="shared" si="9"/>
        <v>70.17192</v>
      </c>
      <c r="G24" s="42">
        <f t="shared" si="9"/>
        <v>72.510983999999993</v>
      </c>
      <c r="H24" s="42">
        <f t="shared" si="9"/>
        <v>88.463400480000004</v>
      </c>
      <c r="I24" s="42">
        <f t="shared" si="9"/>
        <v>78.953584928399991</v>
      </c>
      <c r="J24" s="42">
        <f t="shared" si="9"/>
        <v>61.057439011296005</v>
      </c>
    </row>
    <row r="25" spans="1:19" x14ac:dyDescent="0.3">
      <c r="A25" s="7" t="s">
        <v>125</v>
      </c>
      <c r="E25" s="49">
        <v>1.4999999999999999E-2</v>
      </c>
      <c r="F25" s="49">
        <v>1.2E-2</v>
      </c>
      <c r="G25" s="49">
        <v>0.01</v>
      </c>
      <c r="H25" s="49">
        <v>0.01</v>
      </c>
      <c r="I25" s="49">
        <v>7.4999999999999997E-3</v>
      </c>
      <c r="J25" s="49">
        <v>5.0000000000000001E-3</v>
      </c>
    </row>
    <row r="26" spans="1:19" x14ac:dyDescent="0.3">
      <c r="A26" s="7" t="s">
        <v>127</v>
      </c>
      <c r="B26" s="7"/>
      <c r="C26" s="7" t="s">
        <v>140</v>
      </c>
      <c r="D26" s="7">
        <v>100</v>
      </c>
      <c r="E26" s="7">
        <f t="shared" ref="E26:J26" si="10">E21+E22+E24</f>
        <v>638.60500000000025</v>
      </c>
      <c r="F26" s="7">
        <f t="shared" si="10"/>
        <v>1131.1045200000003</v>
      </c>
      <c r="G26" s="7">
        <f t="shared" si="10"/>
        <v>1785.1513680000005</v>
      </c>
      <c r="H26" s="7">
        <f t="shared" si="10"/>
        <v>2268.4543408800005</v>
      </c>
      <c r="I26" s="7">
        <f t="shared" si="10"/>
        <v>2720.7656012628004</v>
      </c>
      <c r="J26" s="7">
        <f t="shared" si="10"/>
        <v>3186.6168169704983</v>
      </c>
    </row>
    <row r="27" spans="1:19" x14ac:dyDescent="0.3">
      <c r="A27" s="7" t="s">
        <v>128</v>
      </c>
      <c r="B27" s="7"/>
      <c r="C27" s="7" t="s">
        <v>139</v>
      </c>
      <c r="D27" s="7">
        <v>0.03</v>
      </c>
      <c r="E27" s="10">
        <f t="shared" ref="E27:J27" si="11">E26/E5</f>
        <v>0.13760073260073266</v>
      </c>
      <c r="F27" s="10">
        <f t="shared" si="11"/>
        <v>0.19342857142857148</v>
      </c>
      <c r="G27" s="10">
        <f t="shared" si="11"/>
        <v>0.24619047619047627</v>
      </c>
      <c r="H27" s="10">
        <f t="shared" si="11"/>
        <v>0.25642857142857151</v>
      </c>
      <c r="I27" s="10">
        <f t="shared" si="11"/>
        <v>0.25845238095238099</v>
      </c>
      <c r="J27" s="10">
        <f t="shared" si="11"/>
        <v>0.26095238095238116</v>
      </c>
    </row>
    <row r="28" spans="1:19" x14ac:dyDescent="0.3">
      <c r="E28" s="10"/>
    </row>
  </sheetData>
  <mergeCells count="1">
    <mergeCell ref="A1:P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824A-9D4D-4605-B31B-8473DF54D096}">
  <sheetPr>
    <tabColor rgb="FF92D050"/>
  </sheetPr>
  <dimension ref="A1:H27"/>
  <sheetViews>
    <sheetView topLeftCell="A5" workbookViewId="0">
      <selection activeCell="B10" sqref="B10"/>
    </sheetView>
  </sheetViews>
  <sheetFormatPr defaultRowHeight="14.4" x14ac:dyDescent="0.3"/>
  <cols>
    <col min="1" max="1" width="21.77734375" customWidth="1"/>
    <col min="2" max="2" width="20" customWidth="1"/>
    <col min="3" max="3" width="16.77734375" customWidth="1"/>
    <col min="4" max="6" width="10.5546875" bestFit="1" customWidth="1"/>
    <col min="7" max="8" width="10.6640625" bestFit="1" customWidth="1"/>
  </cols>
  <sheetData>
    <row r="1" spans="1:8" ht="27" customHeight="1" x14ac:dyDescent="0.3">
      <c r="A1" s="34" t="s">
        <v>144</v>
      </c>
    </row>
    <row r="3" spans="1:8" s="34" customFormat="1" ht="28.8" x14ac:dyDescent="0.3">
      <c r="A3" s="34" t="s">
        <v>4</v>
      </c>
      <c r="B3" s="36" t="s">
        <v>146</v>
      </c>
      <c r="C3" s="34" t="s">
        <v>147</v>
      </c>
    </row>
    <row r="4" spans="1:8" ht="57.6" x14ac:dyDescent="0.3">
      <c r="A4" s="11" t="s">
        <v>145</v>
      </c>
      <c r="B4" s="11" t="s">
        <v>148</v>
      </c>
      <c r="C4" t="s">
        <v>149</v>
      </c>
    </row>
    <row r="5" spans="1:8" ht="43.2" x14ac:dyDescent="0.3">
      <c r="A5" t="s">
        <v>152</v>
      </c>
      <c r="B5" s="11" t="s">
        <v>153</v>
      </c>
      <c r="C5" t="s">
        <v>150</v>
      </c>
    </row>
    <row r="6" spans="1:8" ht="28.8" x14ac:dyDescent="0.3">
      <c r="A6" t="s">
        <v>155</v>
      </c>
      <c r="B6" s="11" t="s">
        <v>154</v>
      </c>
      <c r="C6" s="11" t="s">
        <v>151</v>
      </c>
    </row>
    <row r="9" spans="1:8" x14ac:dyDescent="0.3">
      <c r="A9" t="s">
        <v>156</v>
      </c>
    </row>
    <row r="10" spans="1:8" s="34" customFormat="1" x14ac:dyDescent="0.3">
      <c r="A10" s="34" t="s">
        <v>157</v>
      </c>
      <c r="B10" s="52" t="str">
        <f>'Revenue Model'!D2</f>
        <v>FY 2025</v>
      </c>
      <c r="C10" s="34" t="str">
        <f>'Revenue Model'!E2</f>
        <v>FY 2026 (E)</v>
      </c>
      <c r="D10" s="34" t="str">
        <f>'Revenue Model'!F2</f>
        <v>FY 2027 E</v>
      </c>
      <c r="E10" s="34" t="str">
        <f>'Revenue Model'!G2</f>
        <v>FY 2028 E</v>
      </c>
      <c r="F10" s="34" t="str">
        <f>'Revenue Model'!H2</f>
        <v>FY 2029 E</v>
      </c>
      <c r="G10" s="34" t="str">
        <f>'Revenue Model'!I2</f>
        <v>FY 2030 E</v>
      </c>
      <c r="H10" s="34" t="str">
        <f>'Revenue Model'!J2</f>
        <v>FY 2031 E</v>
      </c>
    </row>
    <row r="12" spans="1:8" x14ac:dyDescent="0.3">
      <c r="A12" t="s">
        <v>118</v>
      </c>
      <c r="B12">
        <f>'Profit and loss statement'!D5</f>
        <v>3626</v>
      </c>
      <c r="C12">
        <f>'Profit and loss statement'!E5</f>
        <v>4641</v>
      </c>
      <c r="D12" s="42">
        <f>'Profit and loss statement'!F5</f>
        <v>5847.66</v>
      </c>
      <c r="E12" s="42">
        <f>'Profit and loss statement'!G5</f>
        <v>7251.0983999999999</v>
      </c>
      <c r="F12" s="42">
        <f>'Profit and loss statement'!H5</f>
        <v>8846.340048</v>
      </c>
      <c r="G12" s="42">
        <f>'Profit and loss statement'!I5</f>
        <v>10527.144657119999</v>
      </c>
      <c r="H12" s="42">
        <f>'Profit and loss statement'!J5</f>
        <v>12211.4878022592</v>
      </c>
    </row>
    <row r="13" spans="1:8" x14ac:dyDescent="0.3">
      <c r="A13" t="s">
        <v>26</v>
      </c>
      <c r="B13">
        <f>'Profit and loss statement'!D9</f>
        <v>1215</v>
      </c>
      <c r="C13">
        <f>'Profit and loss statement'!E9*-1</f>
        <v>1241</v>
      </c>
      <c r="D13" s="42">
        <f>'Profit and loss statement'!F9</f>
        <v>1453.5611999999999</v>
      </c>
      <c r="E13" s="42">
        <f>'Profit and loss statement'!G9</f>
        <v>1767.8868479999996</v>
      </c>
      <c r="F13" s="42">
        <f>'Profit and loss statement'!H9</f>
        <v>2198.9473833599995</v>
      </c>
      <c r="G13" s="42">
        <f>'Profit and loss statement'!I9</f>
        <v>2516.4888656543994</v>
      </c>
      <c r="H13" s="42">
        <f>'Profit and loss statement'!J9</f>
        <v>2919.1270841591036</v>
      </c>
    </row>
    <row r="15" spans="1:8" x14ac:dyDescent="0.3">
      <c r="A15" t="s">
        <v>158</v>
      </c>
      <c r="B15" s="42">
        <f>B12/365*40</f>
        <v>397.36986301369859</v>
      </c>
      <c r="C15" s="42">
        <f t="shared" ref="C15:H15" si="0">(C12/365)*40</f>
        <v>508.60273972602738</v>
      </c>
      <c r="D15" s="42">
        <f t="shared" si="0"/>
        <v>640.83945205479449</v>
      </c>
      <c r="E15" s="42">
        <f t="shared" si="0"/>
        <v>794.64092054794514</v>
      </c>
      <c r="F15" s="42">
        <f t="shared" si="0"/>
        <v>969.46192306849309</v>
      </c>
      <c r="G15" s="42">
        <f t="shared" si="0"/>
        <v>1153.6596884515068</v>
      </c>
      <c r="H15" s="42">
        <f t="shared" si="0"/>
        <v>1338.245238603748</v>
      </c>
    </row>
    <row r="16" spans="1:8" x14ac:dyDescent="0.3">
      <c r="A16" t="s">
        <v>159</v>
      </c>
      <c r="C16" s="42">
        <f t="shared" ref="C16:H16" si="1">C15-B15</f>
        <v>111.23287671232879</v>
      </c>
      <c r="D16" s="42">
        <f t="shared" si="1"/>
        <v>132.23671232876711</v>
      </c>
      <c r="E16" s="42">
        <f t="shared" si="1"/>
        <v>153.80146849315065</v>
      </c>
      <c r="F16" s="42">
        <f t="shared" si="1"/>
        <v>174.82100252054795</v>
      </c>
      <c r="G16" s="42">
        <f t="shared" si="1"/>
        <v>184.19776538301369</v>
      </c>
      <c r="H16" s="42">
        <f t="shared" si="1"/>
        <v>184.58555015224124</v>
      </c>
    </row>
    <row r="18" spans="1:8" x14ac:dyDescent="0.3">
      <c r="A18" t="s">
        <v>160</v>
      </c>
    </row>
    <row r="19" spans="1:8" x14ac:dyDescent="0.3">
      <c r="A19" t="s">
        <v>161</v>
      </c>
      <c r="B19">
        <v>1558</v>
      </c>
      <c r="C19" s="42">
        <f t="shared" ref="C19:H19" si="2">C12*45%</f>
        <v>2088.4500000000003</v>
      </c>
      <c r="D19" s="42">
        <f t="shared" si="2"/>
        <v>2631.4470000000001</v>
      </c>
      <c r="E19" s="42">
        <f t="shared" si="2"/>
        <v>3262.9942799999999</v>
      </c>
      <c r="F19" s="42">
        <f t="shared" si="2"/>
        <v>3980.8530215999999</v>
      </c>
      <c r="G19" s="42">
        <f t="shared" si="2"/>
        <v>4737.2150957040003</v>
      </c>
      <c r="H19" s="42">
        <f t="shared" si="2"/>
        <v>5495.1695110166402</v>
      </c>
    </row>
    <row r="20" spans="1:8" x14ac:dyDescent="0.3">
      <c r="A20" t="s">
        <v>162</v>
      </c>
      <c r="C20" s="42">
        <f t="shared" ref="C20:H20" si="3">C19-B19</f>
        <v>530.45000000000027</v>
      </c>
      <c r="D20" s="42">
        <f t="shared" si="3"/>
        <v>542.99699999999984</v>
      </c>
      <c r="E20" s="42">
        <f t="shared" si="3"/>
        <v>631.54727999999977</v>
      </c>
      <c r="F20" s="42">
        <f t="shared" si="3"/>
        <v>717.85874160000003</v>
      </c>
      <c r="G20" s="42">
        <f t="shared" si="3"/>
        <v>756.36207410400038</v>
      </c>
      <c r="H20" s="42">
        <f t="shared" si="3"/>
        <v>757.95441531263987</v>
      </c>
    </row>
    <row r="22" spans="1:8" x14ac:dyDescent="0.3">
      <c r="A22" t="s">
        <v>163</v>
      </c>
    </row>
    <row r="23" spans="1:8" x14ac:dyDescent="0.3">
      <c r="A23" t="s">
        <v>164</v>
      </c>
      <c r="B23" s="42">
        <f>(B13/365)*50</f>
        <v>166.43835616438355</v>
      </c>
      <c r="C23" s="42">
        <f t="shared" ref="C23:H23" si="4">(C13/365)*50</f>
        <v>170</v>
      </c>
      <c r="D23" s="42">
        <f t="shared" si="4"/>
        <v>199.11797260273971</v>
      </c>
      <c r="E23" s="42">
        <f t="shared" si="4"/>
        <v>242.17628054794517</v>
      </c>
      <c r="F23" s="42">
        <f t="shared" si="4"/>
        <v>301.22566895342459</v>
      </c>
      <c r="G23" s="42">
        <f t="shared" si="4"/>
        <v>344.7245021444383</v>
      </c>
      <c r="H23" s="42">
        <f t="shared" si="4"/>
        <v>399.8804224875484</v>
      </c>
    </row>
    <row r="24" spans="1:8" x14ac:dyDescent="0.3">
      <c r="A24" t="s">
        <v>165</v>
      </c>
      <c r="C24" s="42">
        <f t="shared" ref="C24:H24" si="5">C23-B23</f>
        <v>3.5616438356164508</v>
      </c>
      <c r="D24" s="42">
        <f t="shared" si="5"/>
        <v>29.117972602739712</v>
      </c>
      <c r="E24" s="42">
        <f t="shared" si="5"/>
        <v>43.058307945205456</v>
      </c>
      <c r="F24" s="42">
        <f t="shared" si="5"/>
        <v>59.049388405479419</v>
      </c>
      <c r="G24" s="42">
        <f t="shared" si="5"/>
        <v>43.498833191013716</v>
      </c>
      <c r="H24" s="42">
        <f t="shared" si="5"/>
        <v>55.155920343110097</v>
      </c>
    </row>
    <row r="26" spans="1:8" s="34" customFormat="1" x14ac:dyDescent="0.3">
      <c r="A26" s="34" t="s">
        <v>166</v>
      </c>
      <c r="C26" s="47">
        <f t="shared" ref="C26:H26" si="6">-C16+C20+C24</f>
        <v>422.77876712328793</v>
      </c>
      <c r="D26" s="47">
        <f t="shared" si="6"/>
        <v>439.87826027397244</v>
      </c>
      <c r="E26" s="47">
        <f t="shared" si="6"/>
        <v>520.80411945205458</v>
      </c>
      <c r="F26" s="47">
        <f t="shared" si="6"/>
        <v>602.08712748493144</v>
      </c>
      <c r="G26" s="47">
        <f t="shared" si="6"/>
        <v>615.66314191200036</v>
      </c>
      <c r="H26" s="47">
        <f t="shared" si="6"/>
        <v>628.52478550350872</v>
      </c>
    </row>
    <row r="27" spans="1:8" x14ac:dyDescent="0.3">
      <c r="A27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K36"/>
  <sheetViews>
    <sheetView topLeftCell="C13" workbookViewId="0">
      <selection activeCell="K36" sqref="K36"/>
    </sheetView>
  </sheetViews>
  <sheetFormatPr defaultRowHeight="14.4" x14ac:dyDescent="0.3"/>
  <cols>
    <col min="1" max="1" width="25" customWidth="1"/>
    <col min="2" max="37" width="12" customWidth="1"/>
  </cols>
  <sheetData>
    <row r="1" spans="1:37" ht="24" customHeight="1" x14ac:dyDescent="0.3">
      <c r="A1" s="75" t="s">
        <v>168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37" x14ac:dyDescent="0.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 t="s">
        <v>14</v>
      </c>
      <c r="AA2" s="4" t="s">
        <v>15</v>
      </c>
      <c r="AB2" s="4" t="s">
        <v>16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4" t="s">
        <v>22</v>
      </c>
      <c r="AI2" s="4" t="s">
        <v>23</v>
      </c>
      <c r="AJ2" s="4" t="s">
        <v>24</v>
      </c>
      <c r="AK2" s="4" t="s">
        <v>25</v>
      </c>
    </row>
    <row r="3" spans="1:37" x14ac:dyDescent="0.3">
      <c r="A3" s="50" t="s">
        <v>169</v>
      </c>
    </row>
    <row r="4" spans="1:37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 t="e">
        <f>'Revenue Model'!AC15</f>
        <v>#REF!</v>
      </c>
      <c r="AA4" s="7" t="e">
        <f>'Revenue Model'!AD15</f>
        <v>#REF!</v>
      </c>
      <c r="AB4" s="7" t="e">
        <f>'Revenue Model'!AE15</f>
        <v>#REF!</v>
      </c>
      <c r="AC4" s="7" t="e">
        <f>'Revenue Model'!AF15</f>
        <v>#REF!</v>
      </c>
      <c r="AD4" s="7" t="e">
        <f>'Revenue Model'!AG15</f>
        <v>#REF!</v>
      </c>
      <c r="AE4" s="7" t="e">
        <f>'Revenue Model'!AH15</f>
        <v>#REF!</v>
      </c>
      <c r="AF4" s="7" t="e">
        <f>'Revenue Model'!AI15</f>
        <v>#REF!</v>
      </c>
      <c r="AG4" s="7" t="e">
        <f>'Revenue Model'!AJ15</f>
        <v>#REF!</v>
      </c>
      <c r="AH4" s="7" t="e">
        <f>'Revenue Model'!AK15</f>
        <v>#REF!</v>
      </c>
      <c r="AI4" s="7" t="e">
        <f>'Revenue Model'!AL15</f>
        <v>#REF!</v>
      </c>
      <c r="AJ4" s="7" t="e">
        <f>'Revenue Model'!AM15</f>
        <v>#REF!</v>
      </c>
      <c r="AK4" s="7" t="e">
        <f>'Revenue Model'!AN15</f>
        <v>#REF!</v>
      </c>
    </row>
    <row r="5" spans="1:37" x14ac:dyDescent="0.3">
      <c r="A5" s="51" t="s">
        <v>170</v>
      </c>
      <c r="B5" s="7" t="str">
        <f>'Revenue Model'!E2</f>
        <v>FY 2026 (E)</v>
      </c>
      <c r="C5" s="7" t="str">
        <f>'Revenue Model'!F2</f>
        <v>FY 2027 E</v>
      </c>
      <c r="D5" s="7" t="str">
        <f>'Revenue Model'!G2</f>
        <v>FY 2028 E</v>
      </c>
      <c r="E5" s="7" t="str">
        <f>'Revenue Model'!H2</f>
        <v>FY 2029 E</v>
      </c>
      <c r="F5" s="7" t="str">
        <f>'Revenue Model'!I2</f>
        <v>FY 2030 E</v>
      </c>
      <c r="G5" s="7" t="str">
        <f>'Revenue Model'!J2</f>
        <v>FY 2031 E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>
        <f>IF(25=Assumptions!$B$45,Assumptions!$B$44,0)</f>
        <v>0</v>
      </c>
      <c r="AA5" s="7">
        <f>IF(26=Assumptions!$B$45,Assumptions!$B$44,0)</f>
        <v>0</v>
      </c>
      <c r="AB5" s="7">
        <f>IF(27=Assumptions!$B$45,Assumptions!$B$44,0)</f>
        <v>0</v>
      </c>
      <c r="AC5" s="7">
        <f>IF(28=Assumptions!$B$45,Assumptions!$B$44,0)</f>
        <v>0</v>
      </c>
      <c r="AD5" s="7">
        <f>IF(29=Assumptions!$B$45,Assumptions!$B$44,0)</f>
        <v>0</v>
      </c>
      <c r="AE5" s="7">
        <f>IF(30=Assumptions!$B$45,Assumptions!$B$44,0)</f>
        <v>0</v>
      </c>
      <c r="AF5" s="7">
        <f>IF(31=Assumptions!$B$45,Assumptions!$B$44,0)</f>
        <v>0</v>
      </c>
      <c r="AG5" s="7">
        <f>IF(32=Assumptions!$B$45,Assumptions!$B$44,0)</f>
        <v>0</v>
      </c>
      <c r="AH5" s="7">
        <f>IF(33=Assumptions!$B$45,Assumptions!$B$44,0)</f>
        <v>0</v>
      </c>
      <c r="AI5" s="7">
        <f>IF(34=Assumptions!$B$45,Assumptions!$B$44,0)</f>
        <v>0</v>
      </c>
      <c r="AJ5" s="7">
        <f>IF(35=Assumptions!$B$45,Assumptions!$B$44,0)</f>
        <v>0</v>
      </c>
      <c r="AK5" s="7">
        <f>IF(36=Assumptions!$B$45,Assumptions!$B$44,0)</f>
        <v>0</v>
      </c>
    </row>
    <row r="6" spans="1:37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 t="e">
        <f t="shared" ref="Z6:AK6" si="0">Z4+Z5</f>
        <v>#REF!</v>
      </c>
      <c r="AA6" s="7" t="e">
        <f t="shared" si="0"/>
        <v>#REF!</v>
      </c>
      <c r="AB6" s="7" t="e">
        <f t="shared" si="0"/>
        <v>#REF!</v>
      </c>
      <c r="AC6" s="7" t="e">
        <f t="shared" si="0"/>
        <v>#REF!</v>
      </c>
      <c r="AD6" s="7" t="e">
        <f t="shared" si="0"/>
        <v>#REF!</v>
      </c>
      <c r="AE6" s="7" t="e">
        <f t="shared" si="0"/>
        <v>#REF!</v>
      </c>
      <c r="AF6" s="7" t="e">
        <f t="shared" si="0"/>
        <v>#REF!</v>
      </c>
      <c r="AG6" s="7" t="e">
        <f t="shared" si="0"/>
        <v>#REF!</v>
      </c>
      <c r="AH6" s="7" t="e">
        <f t="shared" si="0"/>
        <v>#REF!</v>
      </c>
      <c r="AI6" s="7" t="e">
        <f t="shared" si="0"/>
        <v>#REF!</v>
      </c>
      <c r="AJ6" s="7" t="e">
        <f t="shared" si="0"/>
        <v>#REF!</v>
      </c>
      <c r="AK6" s="7" t="e">
        <f t="shared" si="0"/>
        <v>#REF!</v>
      </c>
    </row>
    <row r="7" spans="1:37" x14ac:dyDescent="0.3">
      <c r="A7" t="s">
        <v>171</v>
      </c>
      <c r="B7" s="42">
        <f>'Profit and loss statement'!E21</f>
        <v>-730.48999999999978</v>
      </c>
      <c r="C7" s="42">
        <f>'Profit and loss statement'!F21</f>
        <v>-576.41219999999976</v>
      </c>
      <c r="D7" s="42">
        <f>'Profit and loss statement'!G21</f>
        <v>-245.15618399999948</v>
      </c>
      <c r="E7" s="42">
        <f>'Profit and loss statement'!H21</f>
        <v>-31.594071599999552</v>
      </c>
      <c r="F7" s="42">
        <f>'Profit and loss statement'!I21</f>
        <v>536.38308491040061</v>
      </c>
      <c r="G7" s="42">
        <f>'Profit and loss statement'!J21</f>
        <v>927.49157355254647</v>
      </c>
    </row>
    <row r="8" spans="1:37" x14ac:dyDescent="0.3">
      <c r="A8" s="14" t="s">
        <v>136</v>
      </c>
      <c r="B8" s="42">
        <f>'Profit and loss statement'!E22</f>
        <v>1299.48</v>
      </c>
      <c r="C8" s="42">
        <f>'Profit and loss statement'!F22</f>
        <v>1637.3448000000001</v>
      </c>
      <c r="D8" s="42">
        <f>'Profit and loss statement'!G22</f>
        <v>1957.796568</v>
      </c>
      <c r="E8" s="42">
        <f>'Profit and loss statement'!H22</f>
        <v>2211.585012</v>
      </c>
      <c r="F8" s="42">
        <f>'Profit and loss statement'!I22</f>
        <v>2105.428931424</v>
      </c>
      <c r="G8" s="42">
        <f>'Profit and loss statement'!J22</f>
        <v>2198.0678044066558</v>
      </c>
    </row>
    <row r="9" spans="1:37" x14ac:dyDescent="0.3">
      <c r="A9" t="s">
        <v>172</v>
      </c>
      <c r="B9" s="42">
        <f>'Profit and loss statement'!E24</f>
        <v>69.614999999999995</v>
      </c>
      <c r="C9" s="42">
        <f>'Profit and loss statement'!F24</f>
        <v>70.17192</v>
      </c>
      <c r="D9" s="42">
        <f>'Profit and loss statement'!G24</f>
        <v>72.510983999999993</v>
      </c>
      <c r="E9" s="42">
        <f>'Profit and loss statement'!H24</f>
        <v>88.463400480000004</v>
      </c>
      <c r="F9" s="42">
        <f>'Profit and loss statement'!I24</f>
        <v>78.953584928399991</v>
      </c>
      <c r="G9" s="42">
        <f>'Profit and loss statement'!J24</f>
        <v>61.057439011296005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>
        <f>'Profit and loss statement'!H16</f>
        <v>3450.0726187200003</v>
      </c>
      <c r="AA9" s="7">
        <f>'Profit and loss statement'!I16</f>
        <v>3895.0435231343999</v>
      </c>
      <c r="AB9" s="7">
        <f>'Profit and loss statement'!J16</f>
        <v>4274.0207307907194</v>
      </c>
      <c r="AC9" s="7">
        <f>'Profit and loss statement'!K16</f>
        <v>0</v>
      </c>
      <c r="AD9" s="7">
        <f>'Profit and loss statement'!L16</f>
        <v>0</v>
      </c>
      <c r="AE9" s="7">
        <f>'Profit and loss statement'!M16</f>
        <v>0</v>
      </c>
      <c r="AF9" s="7">
        <f>'Profit and loss statement'!N16</f>
        <v>0</v>
      </c>
      <c r="AG9" s="7">
        <f>'Profit and loss statement'!O16</f>
        <v>0</v>
      </c>
      <c r="AH9" s="7">
        <f>'Profit and loss statement'!P16</f>
        <v>0</v>
      </c>
      <c r="AI9" s="7">
        <f>'Profit and loss statement'!Q16</f>
        <v>0</v>
      </c>
      <c r="AJ9" s="7">
        <f>'Profit and loss statement'!R16</f>
        <v>0</v>
      </c>
      <c r="AK9" s="7">
        <f>'Profit and loss statement'!S16</f>
        <v>0</v>
      </c>
    </row>
    <row r="10" spans="1:37" x14ac:dyDescent="0.3">
      <c r="A10" t="s">
        <v>173</v>
      </c>
      <c r="B10" s="42">
        <f>'Working Capital'!C26</f>
        <v>422.77876712328793</v>
      </c>
      <c r="C10" s="42">
        <f>'Working Capital'!D26</f>
        <v>439.87826027397244</v>
      </c>
      <c r="D10" s="42">
        <f>'Working Capital'!E26</f>
        <v>520.80411945205458</v>
      </c>
      <c r="E10" s="42">
        <f>'Working Capital'!F26</f>
        <v>602.08712748493144</v>
      </c>
      <c r="F10" s="42">
        <f>'Working Capital'!G26</f>
        <v>615.66314191200036</v>
      </c>
      <c r="G10" s="42">
        <f>'Working Capital'!H26</f>
        <v>628.52478550350872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>
        <f t="shared" ref="Z10:AK10" si="1">Z9</f>
        <v>3450.0726187200003</v>
      </c>
      <c r="AA10" s="7">
        <f t="shared" si="1"/>
        <v>3895.0435231343999</v>
      </c>
      <c r="AB10" s="7">
        <f t="shared" si="1"/>
        <v>4274.0207307907194</v>
      </c>
      <c r="AC10" s="7">
        <f t="shared" si="1"/>
        <v>0</v>
      </c>
      <c r="AD10" s="7">
        <f t="shared" si="1"/>
        <v>0</v>
      </c>
      <c r="AE10" s="7">
        <f t="shared" si="1"/>
        <v>0</v>
      </c>
      <c r="AF10" s="7">
        <f t="shared" si="1"/>
        <v>0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0</v>
      </c>
    </row>
    <row r="12" spans="1:37" s="16" customFormat="1" x14ac:dyDescent="0.3">
      <c r="A12" s="17" t="s">
        <v>174</v>
      </c>
      <c r="B12" s="56">
        <f t="shared" ref="B12:G12" si="2">B7+B8+B9+B10</f>
        <v>1061.3837671232882</v>
      </c>
      <c r="C12" s="56">
        <f t="shared" si="2"/>
        <v>1570.9827802739728</v>
      </c>
      <c r="D12" s="56">
        <f t="shared" si="2"/>
        <v>2305.955487452055</v>
      </c>
      <c r="E12" s="56">
        <f t="shared" si="2"/>
        <v>2870.5414683649319</v>
      </c>
      <c r="F12" s="56">
        <f t="shared" si="2"/>
        <v>3336.4287431748007</v>
      </c>
      <c r="G12" s="56">
        <f t="shared" si="2"/>
        <v>3815.141602474007</v>
      </c>
    </row>
    <row r="13" spans="1:37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 t="e">
        <f t="shared" ref="Z13:AK13" si="3">Z6-Z10</f>
        <v>#REF!</v>
      </c>
      <c r="AA13" s="7" t="e">
        <f t="shared" si="3"/>
        <v>#REF!</v>
      </c>
      <c r="AB13" s="7" t="e">
        <f t="shared" si="3"/>
        <v>#REF!</v>
      </c>
      <c r="AC13" s="7" t="e">
        <f t="shared" si="3"/>
        <v>#REF!</v>
      </c>
      <c r="AD13" s="7" t="e">
        <f t="shared" si="3"/>
        <v>#REF!</v>
      </c>
      <c r="AE13" s="7" t="e">
        <f t="shared" si="3"/>
        <v>#REF!</v>
      </c>
      <c r="AF13" s="7" t="e">
        <f t="shared" si="3"/>
        <v>#REF!</v>
      </c>
      <c r="AG13" s="7" t="e">
        <f t="shared" si="3"/>
        <v>#REF!</v>
      </c>
      <c r="AH13" s="7" t="e">
        <f t="shared" si="3"/>
        <v>#REF!</v>
      </c>
      <c r="AI13" s="7" t="e">
        <f t="shared" si="3"/>
        <v>#REF!</v>
      </c>
      <c r="AJ13" s="7" t="e">
        <f t="shared" si="3"/>
        <v>#REF!</v>
      </c>
      <c r="AK13" s="7" t="e">
        <f t="shared" si="3"/>
        <v>#REF!</v>
      </c>
    </row>
    <row r="14" spans="1:37" x14ac:dyDescent="0.3">
      <c r="A14" t="s">
        <v>175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 t="e">
        <f t="shared" ref="Z14:AK14" si="4">Y14+Z13</f>
        <v>#REF!</v>
      </c>
      <c r="AA14" s="7" t="e">
        <f t="shared" si="4"/>
        <v>#REF!</v>
      </c>
      <c r="AB14" s="7" t="e">
        <f t="shared" si="4"/>
        <v>#REF!</v>
      </c>
      <c r="AC14" s="7" t="e">
        <f t="shared" si="4"/>
        <v>#REF!</v>
      </c>
      <c r="AD14" s="7" t="e">
        <f t="shared" si="4"/>
        <v>#REF!</v>
      </c>
      <c r="AE14" s="7" t="e">
        <f t="shared" si="4"/>
        <v>#REF!</v>
      </c>
      <c r="AF14" s="7" t="e">
        <f t="shared" si="4"/>
        <v>#REF!</v>
      </c>
      <c r="AG14" s="7" t="e">
        <f t="shared" si="4"/>
        <v>#REF!</v>
      </c>
      <c r="AH14" s="7" t="e">
        <f t="shared" si="4"/>
        <v>#REF!</v>
      </c>
      <c r="AI14" s="7" t="e">
        <f t="shared" si="4"/>
        <v>#REF!</v>
      </c>
      <c r="AJ14" s="7" t="e">
        <f t="shared" si="4"/>
        <v>#REF!</v>
      </c>
      <c r="AK14" s="7" t="e">
        <f t="shared" si="4"/>
        <v>#REF!</v>
      </c>
    </row>
    <row r="15" spans="1:37" x14ac:dyDescent="0.3">
      <c r="A15" t="s">
        <v>176</v>
      </c>
      <c r="B15" s="42">
        <f>'Profit and loss statement'!E5*Assumptions!$B$35</f>
        <v>69.614999999999995</v>
      </c>
      <c r="C15" s="42">
        <f>'Profit and loss statement'!F5*Assumptions!$B$35</f>
        <v>87.7149</v>
      </c>
      <c r="D15" s="42">
        <f>'Profit and loss statement'!G5*Assumptions!$B$35</f>
        <v>108.766476</v>
      </c>
      <c r="E15" s="42">
        <f>'Profit and loss statement'!H5*Assumptions!$B$35</f>
        <v>132.69510072</v>
      </c>
      <c r="F15" s="42">
        <f>'Profit and loss statement'!I5*Assumptions!$B$35</f>
        <v>157.90716985679998</v>
      </c>
      <c r="G15" s="42">
        <f>'Profit and loss statement'!J5*Assumptions!$B$35</f>
        <v>183.17231703388799</v>
      </c>
    </row>
    <row r="16" spans="1:37" s="16" customFormat="1" x14ac:dyDescent="0.3">
      <c r="A16" s="17" t="s">
        <v>177</v>
      </c>
      <c r="B16" s="56">
        <f t="shared" ref="B16:G16" si="5">B12-B15</f>
        <v>991.76876712328817</v>
      </c>
      <c r="C16" s="56">
        <f t="shared" si="5"/>
        <v>1483.2678802739729</v>
      </c>
      <c r="D16" s="56">
        <f t="shared" si="5"/>
        <v>2197.1890114520552</v>
      </c>
      <c r="E16" s="56">
        <f t="shared" si="5"/>
        <v>2737.8463676449319</v>
      </c>
      <c r="F16" s="56">
        <f t="shared" si="5"/>
        <v>3178.5215733180007</v>
      </c>
      <c r="G16" s="56">
        <f t="shared" si="5"/>
        <v>3631.9692854401192</v>
      </c>
    </row>
    <row r="17" spans="1:37" s="13" customFormat="1" x14ac:dyDescent="0.3">
      <c r="A17" s="15"/>
      <c r="B17" s="85"/>
      <c r="C17" s="61">
        <f>(C16-B16)/B16</f>
        <v>0.49557833382505156</v>
      </c>
      <c r="D17" s="61">
        <f t="shared" ref="D17:G17" si="6">(D16-C16)/C16</f>
        <v>0.48131638301654228</v>
      </c>
      <c r="E17" s="61">
        <f t="shared" si="6"/>
        <v>0.24606774991814326</v>
      </c>
      <c r="F17" s="61">
        <f t="shared" si="6"/>
        <v>0.16095687869152908</v>
      </c>
      <c r="G17" s="61">
        <f t="shared" si="6"/>
        <v>0.14265994477702179</v>
      </c>
    </row>
    <row r="18" spans="1:37" x14ac:dyDescent="0.3">
      <c r="A18" t="s">
        <v>178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9">
        <f>G16*(1+B24)/(B23-B24)</f>
        <v>83938.845707949411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 t="e">
        <f t="shared" ref="Z18:AK18" si="7">IF(Z13&gt;0,999,IF(Z13&lt;0,Z14/ABS(Z13),999))</f>
        <v>#REF!</v>
      </c>
      <c r="AA18" s="6" t="e">
        <f t="shared" si="7"/>
        <v>#REF!</v>
      </c>
      <c r="AB18" s="6" t="e">
        <f t="shared" si="7"/>
        <v>#REF!</v>
      </c>
      <c r="AC18" s="6" t="e">
        <f t="shared" si="7"/>
        <v>#REF!</v>
      </c>
      <c r="AD18" s="6" t="e">
        <f t="shared" si="7"/>
        <v>#REF!</v>
      </c>
      <c r="AE18" s="6" t="e">
        <f t="shared" si="7"/>
        <v>#REF!</v>
      </c>
      <c r="AF18" s="6" t="e">
        <f t="shared" si="7"/>
        <v>#REF!</v>
      </c>
      <c r="AG18" s="6" t="e">
        <f t="shared" si="7"/>
        <v>#REF!</v>
      </c>
      <c r="AH18" s="6" t="e">
        <f t="shared" si="7"/>
        <v>#REF!</v>
      </c>
      <c r="AI18" s="6" t="e">
        <f t="shared" si="7"/>
        <v>#REF!</v>
      </c>
      <c r="AJ18" s="6" t="e">
        <f t="shared" si="7"/>
        <v>#REF!</v>
      </c>
      <c r="AK18" s="6" t="e">
        <f t="shared" si="7"/>
        <v>#REF!</v>
      </c>
    </row>
    <row r="19" spans="1:37" x14ac:dyDescent="0.3">
      <c r="Z19" t="e">
        <f t="shared" ref="Z19:AK19" si="8">IF(Z13&gt;=0,"Profitable","Burning")</f>
        <v>#REF!</v>
      </c>
      <c r="AA19" t="e">
        <f t="shared" si="8"/>
        <v>#REF!</v>
      </c>
      <c r="AB19" t="e">
        <f t="shared" si="8"/>
        <v>#REF!</v>
      </c>
      <c r="AC19" t="e">
        <f t="shared" si="8"/>
        <v>#REF!</v>
      </c>
      <c r="AD19" t="e">
        <f t="shared" si="8"/>
        <v>#REF!</v>
      </c>
      <c r="AE19" t="e">
        <f t="shared" si="8"/>
        <v>#REF!</v>
      </c>
      <c r="AF19" t="e">
        <f t="shared" si="8"/>
        <v>#REF!</v>
      </c>
      <c r="AG19" t="e">
        <f t="shared" si="8"/>
        <v>#REF!</v>
      </c>
      <c r="AH19" t="e">
        <f t="shared" si="8"/>
        <v>#REF!</v>
      </c>
      <c r="AI19" t="e">
        <f t="shared" si="8"/>
        <v>#REF!</v>
      </c>
      <c r="AJ19" t="e">
        <f t="shared" si="8"/>
        <v>#REF!</v>
      </c>
      <c r="AK19" t="e">
        <f t="shared" si="8"/>
        <v>#REF!</v>
      </c>
    </row>
    <row r="22" spans="1:37" x14ac:dyDescent="0.3">
      <c r="A22" t="s">
        <v>179</v>
      </c>
    </row>
    <row r="23" spans="1:37" ht="28.8" x14ac:dyDescent="0.3">
      <c r="A23" t="s">
        <v>180</v>
      </c>
      <c r="B23" s="44">
        <v>8.5000000000000006E-2</v>
      </c>
      <c r="C23" s="11" t="s">
        <v>181</v>
      </c>
      <c r="I23" s="58">
        <f>B36</f>
        <v>189.69480984257876</v>
      </c>
      <c r="J23" s="9">
        <v>7.0000000000000007E-2</v>
      </c>
      <c r="K23" s="10">
        <v>7.4999999999999997E-2</v>
      </c>
      <c r="L23" s="10">
        <v>0.08</v>
      </c>
      <c r="M23" s="10">
        <v>8.5000000000000006E-2</v>
      </c>
      <c r="N23" s="10">
        <v>9.5000000000000001E-2</v>
      </c>
    </row>
    <row r="24" spans="1:37" ht="28.8" x14ac:dyDescent="0.3">
      <c r="A24" t="s">
        <v>182</v>
      </c>
      <c r="B24" s="44">
        <v>0.04</v>
      </c>
      <c r="C24" s="11" t="s">
        <v>191</v>
      </c>
      <c r="I24" s="10">
        <v>2.5000000000000001E-2</v>
      </c>
      <c r="J24" s="59">
        <f t="dataTable" ref="J24:N28" dt2D="1" dtr="1" r1="B23" r2="B24"/>
        <v>202.4010238206273</v>
      </c>
      <c r="K24" s="59">
        <v>181.26705910264747</v>
      </c>
      <c r="L24" s="59">
        <v>164.00201082734162</v>
      </c>
      <c r="M24" s="59">
        <v>149.63801795524668</v>
      </c>
      <c r="N24" s="59">
        <v>127.12449811048873</v>
      </c>
    </row>
    <row r="25" spans="1:37" x14ac:dyDescent="0.3">
      <c r="B25" s="10"/>
      <c r="I25" s="10">
        <v>3.5000000000000003E-2</v>
      </c>
      <c r="J25" s="59">
        <v>251.48027337908226</v>
      </c>
      <c r="K25" s="59">
        <v>219.02645549374895</v>
      </c>
      <c r="L25" s="59">
        <v>193.81485289353463</v>
      </c>
      <c r="M25" s="59">
        <v>173.67209308764589</v>
      </c>
      <c r="N25" s="59">
        <v>143.52199185295896</v>
      </c>
    </row>
    <row r="26" spans="1:37" x14ac:dyDescent="0.3">
      <c r="B26" s="10"/>
      <c r="I26" s="9">
        <v>0.04</v>
      </c>
      <c r="J26" s="59">
        <v>288.28971054792339</v>
      </c>
      <c r="K26" s="59">
        <v>245.99745291596429</v>
      </c>
      <c r="L26" s="59">
        <v>214.31118181404238</v>
      </c>
      <c r="M26" s="60">
        <v>189.69480984257876</v>
      </c>
      <c r="N26" s="59">
        <v>153.95676059816722</v>
      </c>
    </row>
    <row r="27" spans="1:37" ht="36" x14ac:dyDescent="0.35">
      <c r="A27" s="53" t="s">
        <v>190</v>
      </c>
      <c r="B27" s="10"/>
      <c r="I27" s="9">
        <v>0.05</v>
      </c>
      <c r="J27" s="59">
        <v>417.12274063886758</v>
      </c>
      <c r="K27" s="59">
        <v>332.30464466705337</v>
      </c>
      <c r="L27" s="59">
        <v>275.80016857556564</v>
      </c>
      <c r="M27" s="59">
        <v>235.47400057095822</v>
      </c>
      <c r="N27" s="59">
        <v>181.78281058538943</v>
      </c>
    </row>
    <row r="28" spans="1:37" x14ac:dyDescent="0.3">
      <c r="B28" s="10"/>
      <c r="I28" s="9">
        <v>0.06</v>
      </c>
      <c r="J28" s="59">
        <v>803.62183091169982</v>
      </c>
      <c r="K28" s="59">
        <v>533.68809208626124</v>
      </c>
      <c r="L28" s="59">
        <v>398.77814209861185</v>
      </c>
      <c r="M28" s="59">
        <v>317.87654388204129</v>
      </c>
      <c r="N28" s="59">
        <v>225.50946056530998</v>
      </c>
    </row>
    <row r="29" spans="1:37" x14ac:dyDescent="0.3">
      <c r="A29" t="s">
        <v>183</v>
      </c>
      <c r="B29" s="54">
        <f>NPV(B23,B16:G16)</f>
        <v>10209.857910917384</v>
      </c>
    </row>
    <row r="30" spans="1:37" x14ac:dyDescent="0.3">
      <c r="A30" t="s">
        <v>184</v>
      </c>
      <c r="B30" s="54">
        <f>NPV(B23,B18:G18)</f>
        <v>51449.903386346501</v>
      </c>
    </row>
    <row r="31" spans="1:37" x14ac:dyDescent="0.3">
      <c r="A31" t="s">
        <v>185</v>
      </c>
      <c r="B31" s="55">
        <f>B29+B30</f>
        <v>61659.761297263889</v>
      </c>
    </row>
    <row r="32" spans="1:37" x14ac:dyDescent="0.3">
      <c r="A32" t="s">
        <v>186</v>
      </c>
      <c r="B32" s="54">
        <v>4157</v>
      </c>
    </row>
    <row r="33" spans="1:2" x14ac:dyDescent="0.3">
      <c r="A33" t="s">
        <v>189</v>
      </c>
      <c r="B33" s="54">
        <v>2269</v>
      </c>
    </row>
    <row r="34" spans="1:2" x14ac:dyDescent="0.3">
      <c r="A34" t="s">
        <v>187</v>
      </c>
      <c r="B34" s="55">
        <f>B31+B32-B33</f>
        <v>63547.761297263889</v>
      </c>
    </row>
    <row r="35" spans="1:2" x14ac:dyDescent="0.3">
      <c r="A35" t="s">
        <v>194</v>
      </c>
      <c r="B35" s="41">
        <v>335</v>
      </c>
    </row>
    <row r="36" spans="1:2" x14ac:dyDescent="0.3">
      <c r="A36" t="s">
        <v>188</v>
      </c>
      <c r="B36" s="57">
        <f>B34/B35</f>
        <v>189.69480984257876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K24"/>
  <sheetViews>
    <sheetView tabSelected="1" zoomScale="98" zoomScaleNormal="115" workbookViewId="0">
      <selection activeCell="J12" sqref="J12"/>
    </sheetView>
  </sheetViews>
  <sheetFormatPr defaultRowHeight="14.4" x14ac:dyDescent="0.3"/>
  <cols>
    <col min="1" max="1" width="30" customWidth="1"/>
    <col min="2" max="37" width="12" customWidth="1"/>
  </cols>
  <sheetData>
    <row r="1" spans="1:37" ht="24" customHeight="1" x14ac:dyDescent="0.3">
      <c r="A1" s="77" t="s">
        <v>31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37" x14ac:dyDescent="0.3">
      <c r="A2" s="2" t="s">
        <v>4</v>
      </c>
      <c r="B2" s="84" t="str">
        <f>'Profit and loss statement'!C2</f>
        <v>FY 2024</v>
      </c>
      <c r="C2" s="84" t="str">
        <f>'Profit and loss statement'!D2</f>
        <v>FY 2025</v>
      </c>
      <c r="D2" s="83" t="str">
        <f>'Profit and loss statement'!E2</f>
        <v>FY 2026 (E)</v>
      </c>
      <c r="E2" s="83" t="str">
        <f>'Profit and loss statement'!F2</f>
        <v>FY 2027 E</v>
      </c>
      <c r="F2" s="83" t="str">
        <f>'Profit and loss statement'!G2</f>
        <v>FY 2028 E</v>
      </c>
      <c r="G2" s="83" t="str">
        <f>'Profit and loss statement'!H2</f>
        <v>FY 2029 E</v>
      </c>
      <c r="H2" s="83" t="str">
        <f>'Profit and loss statement'!I2</f>
        <v>FY 2030 E</v>
      </c>
      <c r="I2" s="83" t="str">
        <f>'Profit and loss statement'!J2</f>
        <v>FY 2031 E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x14ac:dyDescent="0.3">
      <c r="A3" s="80" t="s">
        <v>211</v>
      </c>
      <c r="B3" s="79">
        <f>'Profit and loss statement'!C3</f>
        <v>2667</v>
      </c>
      <c r="C3" s="79">
        <f>'Profit and loss statement'!D3</f>
        <v>3462</v>
      </c>
      <c r="D3" s="79">
        <f>'Profit and loss statement'!E3</f>
        <v>4420</v>
      </c>
      <c r="E3" s="79">
        <f>'Profit and loss statement'!F3</f>
        <v>5569.2</v>
      </c>
      <c r="F3" s="79">
        <f>'Profit and loss statement'!G3</f>
        <v>6905.808</v>
      </c>
      <c r="G3" s="79">
        <f>'Profit and loss statement'!H3</f>
        <v>8425.0857599999999</v>
      </c>
      <c r="H3" s="79">
        <f>'Profit and loss statement'!I3</f>
        <v>10025.8520544</v>
      </c>
      <c r="I3" s="79">
        <f>'Profit and loss statement'!J3</f>
        <v>11629.988383104001</v>
      </c>
      <c r="J3" s="78"/>
      <c r="K3" s="78"/>
      <c r="L3" s="78"/>
      <c r="M3" s="78"/>
      <c r="N3" s="78"/>
      <c r="O3" s="78"/>
      <c r="P3" s="78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3">
      <c r="A4" s="80" t="s">
        <v>212</v>
      </c>
      <c r="B4" s="79">
        <f>'Profit and loss statement'!C16</f>
        <v>1352</v>
      </c>
      <c r="C4" s="79">
        <f>'Profit and loss statement'!D16</f>
        <v>1639</v>
      </c>
      <c r="D4" s="79">
        <f>'Profit and loss statement'!E16</f>
        <v>1995.6299999999999</v>
      </c>
      <c r="E4" s="79">
        <f>'Profit and loss statement'!F16</f>
        <v>2456.0171999999998</v>
      </c>
      <c r="F4" s="79">
        <f>'Profit and loss statement'!G16</f>
        <v>2900.4393600000003</v>
      </c>
      <c r="G4" s="79">
        <f>'Profit and loss statement'!H16</f>
        <v>3450.0726187200003</v>
      </c>
      <c r="H4" s="79">
        <f>'Profit and loss statement'!I16</f>
        <v>3895.0435231343999</v>
      </c>
      <c r="I4" s="79">
        <f>'Profit and loss statement'!J16</f>
        <v>4274.0207307907194</v>
      </c>
      <c r="J4" s="78"/>
      <c r="K4" s="78"/>
      <c r="L4" s="78"/>
      <c r="M4" s="78"/>
      <c r="N4" s="78"/>
      <c r="O4" s="78"/>
      <c r="P4" s="78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3">
      <c r="A5" s="80" t="s">
        <v>202</v>
      </c>
      <c r="B5" s="81">
        <v>9437</v>
      </c>
      <c r="C5" s="81">
        <v>11000</v>
      </c>
      <c r="D5" s="81">
        <v>13180</v>
      </c>
      <c r="E5" s="79">
        <f>D5+(D5*Assumptions!$B$18)</f>
        <v>14498</v>
      </c>
      <c r="F5" s="79">
        <f>E5+(E5*Assumptions!$B$18)</f>
        <v>15947.8</v>
      </c>
      <c r="G5" s="79">
        <f>F5+(F5*Assumptions!$B$18)</f>
        <v>17542.579999999998</v>
      </c>
      <c r="H5" s="79">
        <f>G5+(G5*Assumptions!$B$18)</f>
        <v>19296.837999999996</v>
      </c>
      <c r="I5" s="79">
        <f>H5+(H5*Assumptions!$B$18)</f>
        <v>21226.521799999995</v>
      </c>
      <c r="J5" s="78"/>
      <c r="K5" s="78"/>
      <c r="L5" s="78"/>
      <c r="M5" s="78"/>
      <c r="N5" s="78"/>
      <c r="O5" s="78"/>
      <c r="P5" s="7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x14ac:dyDescent="0.3">
      <c r="A6" s="80" t="s">
        <v>203</v>
      </c>
      <c r="B6" s="81">
        <v>1599</v>
      </c>
      <c r="C6" s="81">
        <v>1722</v>
      </c>
      <c r="D6" s="79">
        <f>(D5*Assumptions!$B$18)+('Unit Economics'!D5*'Unit Economics'!D12)</f>
        <v>1977</v>
      </c>
      <c r="E6" s="79">
        <f>(E5*Assumptions!$B$18)+('Unit Economics'!E5*'Unit Economics'!E12)</f>
        <v>2174.7000000000003</v>
      </c>
      <c r="F6" s="79">
        <f>(F5*Assumptions!$B$18)+('Unit Economics'!F5*'Unit Economics'!F12)</f>
        <v>2392.17</v>
      </c>
      <c r="G6" s="79">
        <f>(G5*Assumptions!$B$18)+('Unit Economics'!G5*'Unit Economics'!G12)</f>
        <v>2631.3869999999997</v>
      </c>
      <c r="H6" s="79">
        <f>(H5*Assumptions!$B$18)+('Unit Economics'!H5*'Unit Economics'!H12)</f>
        <v>2894.5256999999997</v>
      </c>
      <c r="I6" s="79">
        <f>(I5*Assumptions!$B$18)+('Unit Economics'!I5*'Unit Economics'!I12)</f>
        <v>3183.9782699999996</v>
      </c>
      <c r="J6" s="78"/>
      <c r="K6" s="78"/>
      <c r="L6" s="78"/>
      <c r="M6" s="78"/>
      <c r="N6" s="78"/>
      <c r="O6" s="78"/>
      <c r="P6" s="78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3">
      <c r="A7" s="80" t="s">
        <v>204</v>
      </c>
      <c r="B7" s="81">
        <v>461</v>
      </c>
      <c r="C7" s="81">
        <v>510</v>
      </c>
      <c r="D7" s="81">
        <v>688</v>
      </c>
      <c r="E7" s="79">
        <f>D7+(D7*Assumptions!$B$16)</f>
        <v>784.32</v>
      </c>
      <c r="F7" s="79">
        <f>E7+(E7*Assumptions!$B$16)</f>
        <v>894.12480000000005</v>
      </c>
      <c r="G7" s="79">
        <f>F7+(F7*Assumptions!$B$16)</f>
        <v>1019.3022720000001</v>
      </c>
      <c r="H7" s="79">
        <f>G7+(G7*Assumptions!$B$17)</f>
        <v>1111.0394764800001</v>
      </c>
      <c r="I7" s="79">
        <f>H7+(H7*Assumptions!$B$17)</f>
        <v>1211.0330293632001</v>
      </c>
      <c r="J7" s="78"/>
      <c r="K7" s="78"/>
      <c r="L7" s="78"/>
      <c r="M7" s="78"/>
      <c r="N7" s="78"/>
      <c r="O7" s="78"/>
      <c r="P7" s="78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x14ac:dyDescent="0.3">
      <c r="A8" s="5" t="s">
        <v>32</v>
      </c>
    </row>
    <row r="9" spans="1:37" ht="28.8" x14ac:dyDescent="0.3">
      <c r="A9" s="11" t="s">
        <v>210</v>
      </c>
      <c r="B9" s="41">
        <f>B3/B5</f>
        <v>0.28261099925823885</v>
      </c>
      <c r="C9" s="41">
        <f>C3/C5</f>
        <v>0.31472727272727274</v>
      </c>
      <c r="D9" s="41">
        <f>(D3/D5)</f>
        <v>0.33535660091047043</v>
      </c>
      <c r="E9" s="41">
        <f t="shared" ref="E9:I9" si="0">(E3/E5)</f>
        <v>0.38413574286108426</v>
      </c>
      <c r="F9" s="41">
        <f t="shared" si="0"/>
        <v>0.43302574649794956</v>
      </c>
      <c r="G9" s="41">
        <f t="shared" si="0"/>
        <v>0.48026491884318045</v>
      </c>
      <c r="H9" s="41">
        <f t="shared" si="0"/>
        <v>0.51955932129398619</v>
      </c>
      <c r="I9" s="41">
        <f t="shared" si="0"/>
        <v>0.54789892063729462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x14ac:dyDescent="0.3">
      <c r="A10" t="s">
        <v>33</v>
      </c>
      <c r="B10" s="6">
        <f>1/B12*12</f>
        <v>240</v>
      </c>
      <c r="C10" s="6">
        <f t="shared" ref="C10:I10" si="1">1/C12*12</f>
        <v>240</v>
      </c>
      <c r="D10" s="6">
        <f t="shared" si="1"/>
        <v>240</v>
      </c>
      <c r="E10" s="6">
        <f t="shared" si="1"/>
        <v>240</v>
      </c>
      <c r="F10" s="6">
        <f t="shared" si="1"/>
        <v>240</v>
      </c>
      <c r="G10" s="6">
        <f t="shared" si="1"/>
        <v>240</v>
      </c>
      <c r="H10" s="6">
        <f t="shared" si="1"/>
        <v>240</v>
      </c>
      <c r="I10" s="6">
        <f t="shared" si="1"/>
        <v>240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 x14ac:dyDescent="0.3">
      <c r="A11" t="s">
        <v>209</v>
      </c>
      <c r="B11" s="82">
        <f>(B9*B19)/B12</f>
        <v>3.8433484432267977</v>
      </c>
      <c r="C11" s="82">
        <f t="shared" ref="C11:I11" si="2">(C9*C19)/C12</f>
        <v>4.1853693025121599</v>
      </c>
      <c r="D11" s="82">
        <f t="shared" si="2"/>
        <v>4.9136498301900424</v>
      </c>
      <c r="E11" s="82">
        <f t="shared" si="2"/>
        <v>5.7730114498551517</v>
      </c>
      <c r="F11" s="82">
        <f t="shared" si="2"/>
        <v>6.5489989089404181</v>
      </c>
      <c r="G11" s="82">
        <f t="shared" si="2"/>
        <v>7.217695637471798</v>
      </c>
      <c r="H11" s="82">
        <f t="shared" si="2"/>
        <v>7.9071980516932383</v>
      </c>
      <c r="I11" s="82">
        <f t="shared" si="2"/>
        <v>8.3384997636037799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x14ac:dyDescent="0.3">
      <c r="A12" t="s">
        <v>41</v>
      </c>
      <c r="B12" s="9">
        <v>0.05</v>
      </c>
      <c r="C12" s="9">
        <v>0.05</v>
      </c>
      <c r="D12" s="9">
        <v>0.05</v>
      </c>
      <c r="E12" s="9">
        <v>0.05</v>
      </c>
      <c r="F12" s="9">
        <v>0.05</v>
      </c>
      <c r="G12" s="9">
        <v>0.05</v>
      </c>
      <c r="H12" s="9">
        <v>0.05</v>
      </c>
      <c r="I12" s="9">
        <v>0.05</v>
      </c>
    </row>
    <row r="13" spans="1:37" x14ac:dyDescent="0.3">
      <c r="A13" s="5" t="s">
        <v>34</v>
      </c>
    </row>
    <row r="14" spans="1:37" x14ac:dyDescent="0.3">
      <c r="A14" t="s">
        <v>208</v>
      </c>
      <c r="B14" s="41">
        <f>B4/B6</f>
        <v>0.84552845528455289</v>
      </c>
      <c r="C14" s="41">
        <f t="shared" ref="C14:I14" si="3">C4/C6</f>
        <v>0.95180023228803712</v>
      </c>
      <c r="D14" s="41">
        <f t="shared" si="3"/>
        <v>1.0094233687405159</v>
      </c>
      <c r="E14" s="41">
        <f t="shared" si="3"/>
        <v>1.1293590840115875</v>
      </c>
      <c r="F14" s="41">
        <f t="shared" si="3"/>
        <v>1.2124720901942589</v>
      </c>
      <c r="G14" s="41">
        <f t="shared" si="3"/>
        <v>1.3111232284418828</v>
      </c>
      <c r="H14" s="41">
        <f t="shared" si="3"/>
        <v>1.3456586421514241</v>
      </c>
      <c r="I14" s="41">
        <f t="shared" si="3"/>
        <v>1.3423523555613712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3">
      <c r="A15" t="s">
        <v>35</v>
      </c>
      <c r="B15" s="41">
        <f>B11/B14</f>
        <v>4.5454986395855395</v>
      </c>
      <c r="C15" s="41">
        <f t="shared" ref="C15:I15" si="4">C11/C14</f>
        <v>4.3973190597473701</v>
      </c>
      <c r="D15" s="41">
        <f t="shared" si="4"/>
        <v>4.8677789541576919</v>
      </c>
      <c r="E15" s="41">
        <f t="shared" si="4"/>
        <v>5.1117589893100108</v>
      </c>
      <c r="F15" s="41">
        <f t="shared" si="4"/>
        <v>5.4013605442176864</v>
      </c>
      <c r="G15" s="41">
        <f t="shared" si="4"/>
        <v>5.5049712192569329</v>
      </c>
      <c r="H15" s="41">
        <f t="shared" si="4"/>
        <v>5.8760801617944489</v>
      </c>
      <c r="I15" s="41">
        <f t="shared" si="4"/>
        <v>6.2118561710398481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1:37" x14ac:dyDescent="0.3">
      <c r="A16" t="s">
        <v>36</v>
      </c>
      <c r="B16" s="6">
        <f>B14/((B9*B19)/12)</f>
        <v>52.799487807543009</v>
      </c>
      <c r="C16" s="6">
        <f t="shared" ref="C16:I16" si="5">C14/((C9*C19)/12)</f>
        <v>54.578709604435247</v>
      </c>
      <c r="D16" s="6">
        <f t="shared" si="5"/>
        <v>49.303799999999995</v>
      </c>
      <c r="E16" s="6">
        <f t="shared" si="5"/>
        <v>46.950570342205317</v>
      </c>
      <c r="F16" s="6">
        <f t="shared" si="5"/>
        <v>44.433249370277082</v>
      </c>
      <c r="G16" s="6">
        <f t="shared" si="5"/>
        <v>43.596958174904948</v>
      </c>
      <c r="H16" s="6">
        <f t="shared" si="5"/>
        <v>40.843554443053804</v>
      </c>
      <c r="I16" s="6">
        <f t="shared" si="5"/>
        <v>38.635794743429265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 x14ac:dyDescent="0.3">
      <c r="A17" t="s">
        <v>1</v>
      </c>
    </row>
    <row r="18" spans="1:37" x14ac:dyDescent="0.3">
      <c r="A18" s="5" t="s">
        <v>37</v>
      </c>
    </row>
    <row r="19" spans="1:37" x14ac:dyDescent="0.3">
      <c r="A19" t="s">
        <v>30</v>
      </c>
      <c r="B19" s="8">
        <f>'Profit and loss statement'!C11</f>
        <v>0.67997148966500354</v>
      </c>
      <c r="C19" s="8">
        <f>'Profit and loss statement'!D11</f>
        <v>0.66492002206287926</v>
      </c>
      <c r="D19" s="8">
        <f>'Profit and loss statement'!E11</f>
        <v>0.73260073260073255</v>
      </c>
      <c r="E19" s="8">
        <f>'Profit and loss statement'!F11</f>
        <v>0.75142857142857145</v>
      </c>
      <c r="F19" s="8">
        <f>'Profit and loss statement'!G11</f>
        <v>0.7561904761904763</v>
      </c>
      <c r="G19" s="8">
        <f>'Profit and loss statement'!H11</f>
        <v>0.75142857142857145</v>
      </c>
      <c r="H19" s="8">
        <f>'Profit and loss statement'!I11</f>
        <v>0.76095238095238105</v>
      </c>
      <c r="I19" s="8">
        <f>'Profit and loss statement'!J11</f>
        <v>0.76095238095238105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 spans="1:37" x14ac:dyDescent="0.3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 spans="1:37" x14ac:dyDescent="0.3">
      <c r="A21" t="s">
        <v>38</v>
      </c>
      <c r="B21" s="8">
        <f>'Revenue Model'!C8</f>
        <v>1.31</v>
      </c>
      <c r="C21" s="8">
        <f>'Revenue Model'!D8</f>
        <v>1.26</v>
      </c>
      <c r="D21" s="8">
        <f>'Revenue Model'!E8</f>
        <v>1.26</v>
      </c>
      <c r="E21" s="8">
        <f>'Revenue Model'!F8</f>
        <v>1.26</v>
      </c>
      <c r="F21" s="8">
        <f>'Revenue Model'!G8</f>
        <v>1.25</v>
      </c>
      <c r="G21" s="8">
        <f>'Revenue Model'!H8</f>
        <v>1.23</v>
      </c>
      <c r="H21" s="8">
        <f>'Revenue Model'!I8</f>
        <v>1.23</v>
      </c>
      <c r="I21" s="8">
        <f>'Revenue Model'!J8</f>
        <v>1.23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spans="1:37" x14ac:dyDescent="0.3">
      <c r="A22" t="s">
        <v>1</v>
      </c>
    </row>
    <row r="23" spans="1:37" x14ac:dyDescent="0.3">
      <c r="A23" s="5" t="s">
        <v>39</v>
      </c>
    </row>
    <row r="24" spans="1:37" x14ac:dyDescent="0.3">
      <c r="A24" t="s">
        <v>40</v>
      </c>
      <c r="B24" s="6"/>
      <c r="C24" s="41">
        <f>(C3-B3)/B4</f>
        <v>0.58801775147928992</v>
      </c>
      <c r="D24" s="41">
        <f t="shared" ref="D24:I24" si="6">(D3-C3)/C4</f>
        <v>0.58450274557657111</v>
      </c>
      <c r="E24" s="41">
        <f t="shared" si="6"/>
        <v>0.57585825027685489</v>
      </c>
      <c r="F24" s="41">
        <f t="shared" si="6"/>
        <v>0.54421768707483009</v>
      </c>
      <c r="G24" s="41">
        <f t="shared" si="6"/>
        <v>0.52380952380952372</v>
      </c>
      <c r="H24" s="41">
        <f t="shared" si="6"/>
        <v>0.46398046398046405</v>
      </c>
      <c r="I24" s="41">
        <f t="shared" si="6"/>
        <v>0.41184041184041192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</sheetData>
  <mergeCells count="1">
    <mergeCell ref="A1:M1"/>
  </mergeCells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DE5D7B-978A-4834-BF01-9662D6E18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Assumptions</vt:lpstr>
      <vt:lpstr>Revenue Model</vt:lpstr>
      <vt:lpstr>Profit and loss statement</vt:lpstr>
      <vt:lpstr>Working Capital</vt:lpstr>
      <vt:lpstr>DCF</vt:lpstr>
      <vt:lpstr>Unit Economics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2025-11-07T02:36:03Z</dcterms:created>
  <dcterms:modified xsi:type="dcterms:W3CDTF">2025-12-05T20:41:57Z</dcterms:modified>
  <cp:category/>
</cp:coreProperties>
</file>